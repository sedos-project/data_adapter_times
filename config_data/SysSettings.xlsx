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</sheets>
  <externalReferences>
    <externalReference r:id="rId7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57">
    <numFmt numFmtId="164" formatCode="0.000"/>
    <numFmt numFmtId="165" formatCode="@\ *."/>
    <numFmt numFmtId="166" formatCode="\ \ \ \ \ \ \ \ \ \ @\ *."/>
    <numFmt numFmtId="167" formatCode="\ \ \ \ \ \ \ \ \ \ \ \ @\ *."/>
    <numFmt numFmtId="168" formatCode="\ \ \ \ \ \ \ \ \ \ \ \ @"/>
    <numFmt numFmtId="169" formatCode="\ \ \ \ \ \ \ \ \ \ \ \ \ @\ *."/>
    <numFmt numFmtId="170" formatCode="\ @\ *."/>
    <numFmt numFmtId="171" formatCode="\ @"/>
    <numFmt numFmtId="172" formatCode="_-* #,##0.00\ [$€]_-;\-* #,##0.00\ [$€]_-;_-* &quot;-&quot;??\ [$€]_-;_-@_-"/>
    <numFmt numFmtId="173" formatCode="\ \ @\ *."/>
    <numFmt numFmtId="174" formatCode="\ \ @"/>
    <numFmt numFmtId="175" formatCode="\ \ \ @\ *."/>
    <numFmt numFmtId="176" formatCode="\ \ \ @"/>
    <numFmt numFmtId="177" formatCode="\ \ \ \ @\ *."/>
    <numFmt numFmtId="178" formatCode="\ \ \ \ @"/>
    <numFmt numFmtId="179" formatCode="\ \ \ \ \ \ @\ *."/>
    <numFmt numFmtId="180" formatCode="\ \ \ \ \ \ @"/>
    <numFmt numFmtId="181" formatCode="\ \ \ \ \ \ \ @\ *."/>
    <numFmt numFmtId="182" formatCode="\ \ \ \ \ \ \ \ \ @\ *."/>
    <numFmt numFmtId="183" formatCode="\ \ \ \ \ \ \ \ \ @"/>
    <numFmt numFmtId="184" formatCode="#,##0.00\ &quot;Gg&quot;"/>
    <numFmt numFmtId="185" formatCode="#,##0.00\ &quot;kg&quot;"/>
    <numFmt numFmtId="186" formatCode="#,##0.00\ &quot;kt&quot;"/>
    <numFmt numFmtId="187" formatCode="#,##0.00\ &quot;Stck&quot;"/>
    <numFmt numFmtId="188" formatCode="#,##0.00\ &quot;Stk&quot;"/>
    <numFmt numFmtId="189" formatCode="#,##0.00\ &quot;T.Stk&quot;"/>
    <numFmt numFmtId="190" formatCode="#,##0.00\ &quot;TJ&quot;"/>
    <numFmt numFmtId="191" formatCode="#,##0.00\ &quot;TStk&quot;"/>
    <numFmt numFmtId="192" formatCode="yyyy"/>
    <numFmt numFmtId="193" formatCode="#,##0.000"/>
    <numFmt numFmtId="194" formatCode="_([$€-2]* #,##0.00_);_([$€-2]* \(#,##0.00\);_([$€-2]* &quot;-&quot;??_)"/>
    <numFmt numFmtId="195" formatCode="_(&quot;€&quot;* #,##0.00_);_(&quot;€&quot;* \(#,##0.00\);_(&quot;€&quot;* &quot;-&quot;??_);_(@_)"/>
    <numFmt numFmtId="196" formatCode="_([$€]* #,##0.00_);_([$€]* \(#,##0.00\);_([$€]* &quot;-&quot;??_);_(@_)"/>
    <numFmt numFmtId="197" formatCode="_-* #,##0.00\ _D_M_-;\-* #,##0.00\ _D_M_-;_-* &quot;-&quot;??\ _D_M_-;_-@_-"/>
    <numFmt numFmtId="198" formatCode="0\ \ \ "/>
    <numFmt numFmtId="199" formatCode="#,##0.0000"/>
    <numFmt numFmtId="200" formatCode="#,###,##0"/>
    <numFmt numFmtId="201" formatCode="* \+\ ?\ ??0.0\ \ \ ;* \–\ ?\ ??0.0\ \ \ ;&quot;–   &quot;"/>
    <numFmt numFmtId="202" formatCode="* \+\ ?\ ??0.0\ \ \ ;* \–\ ?\ ??0.0\ \ \ ;* \+\ ?\ ??0.0\ \ \ "/>
    <numFmt numFmtId="203" formatCode="* \+\ ?\ ??0.0\ \ \ ;* \–\ ?\ ??0.0\ \ \ ;* \–\ ?\ ??0.0\ \ \ "/>
    <numFmt numFmtId="204" formatCode="#,##0.00\ &quot;DM&quot;;[Red]\-#,##0.00\ &quot;DM&quot;"/>
    <numFmt numFmtId="205" formatCode="* ??\ ???\ ??0\ \ \ ;* \–\ ##\ ???\ ??0\ \ \ ;&quot;–   &quot;"/>
    <numFmt numFmtId="206" formatCode="_-* #,##0\ _€_-;\-* #,##0\ _€_-;_-* &quot;-&quot;\ _€_-;_-@_-"/>
    <numFmt numFmtId="207" formatCode="_-* #,##0.00\ _€_-;\-* #,##0.00\ _€_-;_-* &quot;-&quot;??\ _€_-;_-@_-"/>
    <numFmt numFmtId="208" formatCode="_ * #,##0.00_ ;_ * \-#,##0.00_ ;_ * &quot;-&quot;??_ ;_ @_ "/>
    <numFmt numFmtId="209" formatCode="_-* #,##0.00_-;\-* #,##0.00_-;_-* \-??_-;_-@_-"/>
    <numFmt numFmtId="210" formatCode="_(&quot;£&quot;* #,##0.00_);_(&quot;£&quot;* \(#,##0.00\);_(&quot;£&quot;* &quot;-&quot;??_);_(@_)"/>
    <numFmt numFmtId="211" formatCode="_-[$€-2]* #,##0.00_-;\-[$€-2]* #,##0.00_-;_-[$€-2]* &quot;-&quot;??_-"/>
    <numFmt numFmtId="212" formatCode="[&gt;0.5]#,##0;[&lt;-0.5]\-#,##0;\-"/>
    <numFmt numFmtId="213" formatCode="_-* #,##0\ _F_-;\-* #,##0\ _F_-;_-* &quot;-&quot;\ _F_-;_-@_-"/>
    <numFmt numFmtId="214" formatCode="_-* #,##0.00\ _F_-;\-* #,##0.00\ _F_-;_-* &quot;-&quot;??\ _F_-;_-@_-"/>
    <numFmt numFmtId="215" formatCode="_-* #,##0\ &quot;F&quot;_-;\-* #,##0\ &quot;F&quot;_-;_-* &quot;-&quot;\ &quot;F&quot;_-;_-@_-"/>
    <numFmt numFmtId="216" formatCode="_-* #,##0.00\ &quot;F&quot;_-;\-* #,##0.00\ &quot;F&quot;_-;_-* &quot;-&quot;??\ &quot;F&quot;_-;_-@_-"/>
    <numFmt numFmtId="217" formatCode="#,##0.0;\-#,##0.0;&quot;-&quot;"/>
    <numFmt numFmtId="218" formatCode="_ * #,##0_ ;_ * \-#,##0_ ;_ * &quot;-&quot;_ ;_ @_ "/>
    <numFmt numFmtId="219" formatCode="_ &quot;kr&quot;\ * #,##0_ ;_ &quot;kr&quot;\ * \-#,##0_ ;_ &quot;kr&quot;\ * &quot;-&quot;_ ;_ @_ "/>
    <numFmt numFmtId="220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7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8660">
    <xf numFmtId="0" fontId="93" fillId="0" borderId="0"/>
    <xf numFmtId="165" fontId="4" fillId="0" borderId="0"/>
    <xf numFmtId="49" fontId="4" fillId="0" borderId="0"/>
    <xf numFmtId="166" fontId="4" fillId="0" borderId="0" applyAlignment="1">
      <alignment horizontal="center"/>
    </xf>
    <xf numFmtId="167" fontId="4" fillId="0" borderId="0"/>
    <xf numFmtId="168" fontId="4" fillId="0" borderId="0"/>
    <xf numFmtId="169" fontId="4" fillId="0" borderId="0"/>
    <xf numFmtId="170" fontId="4" fillId="0" borderId="0"/>
    <xf numFmtId="171" fontId="35" fillId="0" borderId="0"/>
    <xf numFmtId="0" fontId="6" fillId="2" borderId="0"/>
    <xf numFmtId="0" fontId="6" fillId="2" borderId="0"/>
    <xf numFmtId="172" fontId="6" fillId="2" borderId="0"/>
    <xf numFmtId="0" fontId="47" fillId="2" borderId="0"/>
    <xf numFmtId="0" fontId="6" fillId="3" borderId="0"/>
    <xf numFmtId="0" fontId="6" fillId="3" borderId="0"/>
    <xf numFmtId="172" fontId="6" fillId="3" borderId="0"/>
    <xf numFmtId="0" fontId="47" fillId="3" borderId="0"/>
    <xf numFmtId="0" fontId="6" fillId="4" borderId="0"/>
    <xf numFmtId="0" fontId="6" fillId="4" borderId="0"/>
    <xf numFmtId="172" fontId="6" fillId="4" borderId="0"/>
    <xf numFmtId="0" fontId="47" fillId="4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6" borderId="0"/>
    <xf numFmtId="0" fontId="6" fillId="6" borderId="0"/>
    <xf numFmtId="172" fontId="6" fillId="6" borderId="0"/>
    <xf numFmtId="0" fontId="47" fillId="6" borderId="0"/>
    <xf numFmtId="0" fontId="6" fillId="7" borderId="0"/>
    <xf numFmtId="0" fontId="6" fillId="7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36" fillId="0" borderId="0"/>
    <xf numFmtId="174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5" fontId="4" fillId="0" borderId="0"/>
    <xf numFmtId="176" fontId="4" fillId="0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9" borderId="0"/>
    <xf numFmtId="0" fontId="6" fillId="9" borderId="0"/>
    <xf numFmtId="172" fontId="6" fillId="9" borderId="0"/>
    <xf numFmtId="0" fontId="47" fillId="9" borderId="0"/>
    <xf numFmtId="0" fontId="6" fillId="10" borderId="0"/>
    <xf numFmtId="0" fontId="6" fillId="10" borderId="0"/>
    <xf numFmtId="172" fontId="6" fillId="10" borderId="0"/>
    <xf numFmtId="0" fontId="47" fillId="10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11" borderId="0"/>
    <xf numFmtId="0" fontId="6" fillId="11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7" fontId="4" fillId="0" borderId="0"/>
    <xf numFmtId="178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2" fontId="7" fillId="12" borderId="0"/>
    <xf numFmtId="0" fontId="24" fillId="12" borderId="0"/>
    <xf numFmtId="0" fontId="7" fillId="9" borderId="0"/>
    <xf numFmtId="0" fontId="7" fillId="9" borderId="0"/>
    <xf numFmtId="172" fontId="7" fillId="9" borderId="0"/>
    <xf numFmtId="0" fontId="24" fillId="9" borderId="0"/>
    <xf numFmtId="0" fontId="7" fillId="10" borderId="0"/>
    <xf numFmtId="0" fontId="7" fillId="10" borderId="0"/>
    <xf numFmtId="172" fontId="7" fillId="10" borderId="0"/>
    <xf numFmtId="0" fontId="24" fillId="10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5" borderId="0"/>
    <xf numFmtId="0" fontId="7" fillId="15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9" fontId="4" fillId="0" borderId="0" applyAlignment="1">
      <alignment horizontal="center"/>
    </xf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0" fontId="30" fillId="20" borderId="0"/>
    <xf numFmtId="193" fontId="30" fillId="20" borderId="0"/>
    <xf numFmtId="0" fontId="29" fillId="20" borderId="0" applyAlignment="1">
      <alignment horizontal="right" vertical="center"/>
    </xf>
    <xf numFmtId="193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3" fontId="29" fillId="21" borderId="0" applyAlignment="1">
      <alignment horizontal="right" vertical="center"/>
    </xf>
    <xf numFmtId="193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3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3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3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3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2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2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2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2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2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2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2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2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2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5" fontId="23" fillId="0" borderId="0"/>
    <xf numFmtId="195" fontId="23" fillId="0" borderId="0"/>
    <xf numFmtId="172" fontId="23" fillId="0" borderId="0"/>
    <xf numFmtId="195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5" fontId="23" fillId="0" borderId="0"/>
    <xf numFmtId="172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0" fontId="13" fillId="4" borderId="0"/>
    <xf numFmtId="172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2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3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5" fontId="35" fillId="0" borderId="0"/>
    <xf numFmtId="0" fontId="14" fillId="26" borderId="0"/>
    <xf numFmtId="0" fontId="14" fillId="26" borderId="0"/>
    <xf numFmtId="172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2" fontId="23" fillId="27" borderId="0"/>
    <xf numFmtId="0" fontId="23" fillId="27" borderId="0"/>
    <xf numFmtId="193" fontId="23" fillId="27" borderId="0"/>
    <xf numFmtId="172" fontId="23" fillId="27" borderId="0"/>
    <xf numFmtId="0" fontId="41" fillId="28" borderId="0"/>
    <xf numFmtId="193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2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3" fontId="29" fillId="27" borderId="1"/>
    <xf numFmtId="172" fontId="29" fillId="27" borderId="1"/>
    <xf numFmtId="0" fontId="29" fillId="27" borderId="4"/>
    <xf numFmtId="0" fontId="23" fillId="0" borderId="0"/>
    <xf numFmtId="0" fontId="23" fillId="0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2" fontId="4" fillId="0" borderId="0"/>
    <xf numFmtId="172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2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2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2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2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2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204" fontId="31" fillId="0" borderId="0"/>
    <xf numFmtId="44" fontId="23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2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2" fillId="24" borderId="10"/>
    <xf numFmtId="0" fontId="22" fillId="24" borderId="10"/>
    <xf numFmtId="172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94" fontId="23" fillId="0" borderId="0"/>
    <xf numFmtId="172" fontId="23" fillId="0" borderId="0"/>
    <xf numFmtId="172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72" fontId="23" fillId="27" borderId="0"/>
    <xf numFmtId="0" fontId="23" fillId="27" borderId="0"/>
    <xf numFmtId="172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5" borderId="0"/>
    <xf numFmtId="0" fontId="6" fillId="3" borderId="0"/>
    <xf numFmtId="0" fontId="73" fillId="56" borderId="0"/>
    <xf numFmtId="0" fontId="6" fillId="4" borderId="0"/>
    <xf numFmtId="0" fontId="73" fillId="57" borderId="0"/>
    <xf numFmtId="0" fontId="6" fillId="5" borderId="0"/>
    <xf numFmtId="0" fontId="73" fillId="60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8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9" borderId="0"/>
    <xf numFmtId="0" fontId="7" fillId="13" borderId="0"/>
    <xf numFmtId="0" fontId="60" fillId="61" borderId="0"/>
    <xf numFmtId="0" fontId="7" fillId="14" borderId="0"/>
    <xf numFmtId="0" fontId="7" fillId="15" borderId="0"/>
    <xf numFmtId="0" fontId="60" fillId="62" borderId="0"/>
    <xf numFmtId="0" fontId="1" fillId="0" borderId="0" applyAlignment="1">
      <alignment horizontal="center" vertical="center"/>
    </xf>
    <xf numFmtId="0" fontId="108" fillId="64" borderId="0"/>
    <xf numFmtId="0" fontId="1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8" borderId="0"/>
    <xf numFmtId="208" fontId="6" fillId="0" borderId="0"/>
    <xf numFmtId="208" fontId="6" fillId="0" borderId="0"/>
    <xf numFmtId="209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9" fontId="23" fillId="0" borderId="0"/>
    <xf numFmtId="209" fontId="23" fillId="0" borderId="0"/>
    <xf numFmtId="208" fontId="47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47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107" fillId="0" borderId="0"/>
    <xf numFmtId="208" fontId="107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1" fontId="73" fillId="69" borderId="0"/>
    <xf numFmtId="0" fontId="23" fillId="70" borderId="0"/>
    <xf numFmtId="0" fontId="23" fillId="70" borderId="0"/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96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2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2" borderId="0" applyAlignment="1">
      <alignment horizontal="left"/>
    </xf>
    <xf numFmtId="212" fontId="103" fillId="0" borderId="0" applyAlignment="1">
      <alignment horizontal="left" vertical="center"/>
    </xf>
    <xf numFmtId="212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3" fontId="23" fillId="0" borderId="0"/>
    <xf numFmtId="214" fontId="23" fillId="0" borderId="0"/>
    <xf numFmtId="215" fontId="23" fillId="0" borderId="0"/>
    <xf numFmtId="216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7" fontId="23" fillId="0" borderId="0"/>
    <xf numFmtId="217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8" fontId="40" fillId="0" borderId="0"/>
    <xf numFmtId="212" fontId="102" fillId="0" borderId="0"/>
    <xf numFmtId="218" fontId="40" fillId="0" borderId="0"/>
    <xf numFmtId="219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95" fillId="65" borderId="0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6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3" borderId="21" applyAlignment="1">
      <alignment horizontal="center" vertical="center" wrapText="1"/>
    </xf>
    <xf numFmtId="0" fontId="99" fillId="73" borderId="21" applyAlignment="1">
      <alignment horizontal="center" vertical="center" wrapText="1"/>
    </xf>
    <xf numFmtId="0" fontId="99" fillId="73" borderId="21" applyAlignment="1">
      <alignment vertical="center" wrapText="1"/>
    </xf>
    <xf numFmtId="220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2" fontId="6" fillId="2" borderId="0"/>
    <xf numFmtId="0" fontId="47" fillId="2" borderId="0"/>
    <xf numFmtId="172" fontId="6" fillId="3" borderId="0"/>
    <xf numFmtId="0" fontId="47" fillId="3" borderId="0"/>
    <xf numFmtId="172" fontId="6" fillId="4" borderId="0"/>
    <xf numFmtId="0" fontId="47" fillId="4" borderId="0"/>
    <xf numFmtId="172" fontId="6" fillId="5" borderId="0"/>
    <xf numFmtId="0" fontId="47" fillId="5" borderId="0"/>
    <xf numFmtId="172" fontId="6" fillId="6" borderId="0"/>
    <xf numFmtId="0" fontId="47" fillId="6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6" fillId="8" borderId="0"/>
    <xf numFmtId="0" fontId="47" fillId="8" borderId="0"/>
    <xf numFmtId="172" fontId="6" fillId="9" borderId="0"/>
    <xf numFmtId="0" fontId="47" fillId="9" borderId="0"/>
    <xf numFmtId="172" fontId="6" fillId="10" borderId="0"/>
    <xf numFmtId="0" fontId="47" fillId="10" borderId="0"/>
    <xf numFmtId="172" fontId="6" fillId="5" borderId="0"/>
    <xf numFmtId="0" fontId="47" fillId="5" borderId="0"/>
    <xf numFmtId="172" fontId="6" fillId="8" borderId="0"/>
    <xf numFmtId="0" fontId="47" fillId="8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7" fillId="12" borderId="0"/>
    <xf numFmtId="0" fontId="24" fillId="12" borderId="0"/>
    <xf numFmtId="172" fontId="7" fillId="9" borderId="0"/>
    <xf numFmtId="0" fontId="24" fillId="9" borderId="0"/>
    <xf numFmtId="172" fontId="7" fillId="10" borderId="0"/>
    <xf numFmtId="0" fontId="24" fillId="10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2" fontId="7" fillId="16" borderId="0"/>
    <xf numFmtId="0" fontId="24" fillId="16" borderId="0"/>
    <xf numFmtId="172" fontId="7" fillId="17" borderId="0"/>
    <xf numFmtId="0" fontId="24" fillId="17" borderId="0"/>
    <xf numFmtId="172" fontId="7" fillId="18" borderId="0"/>
    <xf numFmtId="0" fontId="24" fillId="18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9" borderId="0"/>
    <xf numFmtId="0" fontId="24" fillId="19" borderId="0"/>
    <xf numFmtId="172" fontId="8" fillId="23" borderId="7"/>
    <xf numFmtId="0" fontId="48" fillId="23" borderId="7"/>
    <xf numFmtId="172" fontId="9" fillId="23" borderId="8"/>
    <xf numFmtId="0" fontId="49" fillId="23" borderId="8"/>
    <xf numFmtId="0" fontId="9" fillId="23" borderId="8"/>
    <xf numFmtId="172" fontId="10" fillId="7" borderId="8"/>
    <xf numFmtId="0" fontId="50" fillId="7" borderId="8"/>
    <xf numFmtId="172" fontId="11" fillId="0" borderId="14"/>
    <xf numFmtId="0" fontId="32" fillId="0" borderId="14"/>
    <xf numFmtId="172" fontId="12" fillId="0" borderId="0"/>
    <xf numFmtId="0" fontId="51" fillId="0" borderId="0"/>
    <xf numFmtId="194" fontId="23" fillId="0" borderId="0"/>
    <xf numFmtId="0" fontId="12" fillId="0" borderId="0"/>
    <xf numFmtId="172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2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15" fillId="3" borderId="0"/>
    <xf numFmtId="0" fontId="54" fillId="3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2" fontId="17" fillId="0" borderId="15"/>
    <xf numFmtId="0" fontId="55" fillId="0" borderId="15"/>
    <xf numFmtId="172" fontId="18" fillId="0" borderId="16"/>
    <xf numFmtId="0" fontId="56" fillId="0" borderId="16"/>
    <xf numFmtId="172" fontId="19" fillId="0" borderId="17"/>
    <xf numFmtId="0" fontId="57" fillId="0" borderId="17"/>
    <xf numFmtId="172" fontId="19" fillId="0" borderId="0"/>
    <xf numFmtId="0" fontId="57" fillId="0" borderId="0"/>
    <xf numFmtId="172" fontId="20" fillId="0" borderId="18"/>
    <xf numFmtId="0" fontId="58" fillId="0" borderId="18"/>
    <xf numFmtId="172" fontId="21" fillId="0" borderId="0"/>
    <xf numFmtId="0" fontId="26" fillId="0" borderId="0"/>
    <xf numFmtId="0" fontId="21" fillId="0" borderId="0"/>
    <xf numFmtId="172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3" fontId="23" fillId="0" borderId="0"/>
    <xf numFmtId="172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1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2" fontId="73" fillId="0" borderId="0"/>
    <xf numFmtId="0" fontId="7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3" fontId="2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172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2" fontId="73" fillId="0" borderId="0"/>
    <xf numFmtId="0" fontId="34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2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2" fontId="4" fillId="0" borderId="0"/>
    <xf numFmtId="0" fontId="73" fillId="0" borderId="0"/>
    <xf numFmtId="172" fontId="73" fillId="0" borderId="0"/>
    <xf numFmtId="172" fontId="73" fillId="0" borderId="0"/>
    <xf numFmtId="200" fontId="33" fillId="31" borderId="0" applyProtection="1">
      <protection locked="0" hidden="0"/>
    </xf>
    <xf numFmtId="200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1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2" fontId="6" fillId="2" borderId="0"/>
    <xf numFmtId="0" fontId="47" fillId="2" borderId="0"/>
    <xf numFmtId="172" fontId="6" fillId="2" borderId="0"/>
    <xf numFmtId="172" fontId="6" fillId="2" borderId="0"/>
    <xf numFmtId="172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3" borderId="0"/>
    <xf numFmtId="172" fontId="6" fillId="3" borderId="0"/>
    <xf numFmtId="0" fontId="47" fillId="3" borderId="0"/>
    <xf numFmtId="172" fontId="6" fillId="3" borderId="0"/>
    <xf numFmtId="172" fontId="6" fillId="3" borderId="0"/>
    <xf numFmtId="172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4" borderId="0"/>
    <xf numFmtId="172" fontId="6" fillId="4" borderId="0"/>
    <xf numFmtId="0" fontId="47" fillId="4" borderId="0"/>
    <xf numFmtId="172" fontId="6" fillId="4" borderId="0"/>
    <xf numFmtId="172" fontId="6" fillId="4" borderId="0"/>
    <xf numFmtId="172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" fillId="6" borderId="0"/>
    <xf numFmtId="172" fontId="6" fillId="6" borderId="0"/>
    <xf numFmtId="0" fontId="47" fillId="6" borderId="0"/>
    <xf numFmtId="172" fontId="6" fillId="6" borderId="0"/>
    <xf numFmtId="172" fontId="6" fillId="6" borderId="0"/>
    <xf numFmtId="172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7" borderId="0"/>
    <xf numFmtId="172" fontId="6" fillId="7" borderId="0"/>
    <xf numFmtId="0" fontId="47" fillId="7" borderId="0"/>
    <xf numFmtId="172" fontId="6" fillId="7" borderId="0"/>
    <xf numFmtId="172" fontId="6" fillId="7" borderId="0"/>
    <xf numFmtId="172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" fillId="9" borderId="0"/>
    <xf numFmtId="172" fontId="6" fillId="9" borderId="0"/>
    <xf numFmtId="0" fontId="47" fillId="9" borderId="0"/>
    <xf numFmtId="172" fontId="6" fillId="9" borderId="0"/>
    <xf numFmtId="172" fontId="6" fillId="9" borderId="0"/>
    <xf numFmtId="172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" fillId="10" borderId="0"/>
    <xf numFmtId="172" fontId="6" fillId="10" borderId="0"/>
    <xf numFmtId="0" fontId="47" fillId="10" borderId="0"/>
    <xf numFmtId="172" fontId="6" fillId="10" borderId="0"/>
    <xf numFmtId="172" fontId="6" fillId="10" borderId="0"/>
    <xf numFmtId="172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" fillId="11" borderId="0"/>
    <xf numFmtId="172" fontId="6" fillId="11" borderId="0"/>
    <xf numFmtId="0" fontId="47" fillId="11" borderId="0"/>
    <xf numFmtId="172" fontId="6" fillId="11" borderId="0"/>
    <xf numFmtId="172" fontId="6" fillId="11" borderId="0"/>
    <xf numFmtId="172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7" fillId="12" borderId="0"/>
    <xf numFmtId="172" fontId="7" fillId="12" borderId="0"/>
    <xf numFmtId="0" fontId="24" fillId="12" borderId="0"/>
    <xf numFmtId="172" fontId="7" fillId="12" borderId="0"/>
    <xf numFmtId="172" fontId="7" fillId="12" borderId="0"/>
    <xf numFmtId="172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" fillId="9" borderId="0"/>
    <xf numFmtId="172" fontId="7" fillId="9" borderId="0"/>
    <xf numFmtId="0" fontId="24" fillId="9" borderId="0"/>
    <xf numFmtId="172" fontId="7" fillId="9" borderId="0"/>
    <xf numFmtId="172" fontId="7" fillId="9" borderId="0"/>
    <xf numFmtId="172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" fillId="10" borderId="0"/>
    <xf numFmtId="172" fontId="7" fillId="10" borderId="0"/>
    <xf numFmtId="0" fontId="24" fillId="10" borderId="0"/>
    <xf numFmtId="172" fontId="7" fillId="10" borderId="0"/>
    <xf numFmtId="172" fontId="7" fillId="10" borderId="0"/>
    <xf numFmtId="172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0" fillId="5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" fillId="15" borderId="0"/>
    <xf numFmtId="172" fontId="7" fillId="15" borderId="0"/>
    <xf numFmtId="0" fontId="24" fillId="15" borderId="0"/>
    <xf numFmtId="172" fontId="7" fillId="15" borderId="0"/>
    <xf numFmtId="172" fontId="7" fillId="15" borderId="0"/>
    <xf numFmtId="172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2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60" fillId="62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2" fontId="7" fillId="16" borderId="0"/>
    <xf numFmtId="0" fontId="24" fillId="16" borderId="0"/>
    <xf numFmtId="172" fontId="7" fillId="16" borderId="0"/>
    <xf numFmtId="172" fontId="7" fillId="16" borderId="0"/>
    <xf numFmtId="172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2" fontId="7" fillId="17" borderId="0"/>
    <xf numFmtId="0" fontId="24" fillId="17" borderId="0"/>
    <xf numFmtId="172" fontId="7" fillId="17" borderId="0"/>
    <xf numFmtId="172" fontId="7" fillId="17" borderId="0"/>
    <xf numFmtId="172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2" fontId="7" fillId="18" borderId="0"/>
    <xf numFmtId="0" fontId="24" fillId="18" borderId="0"/>
    <xf numFmtId="172" fontId="7" fillId="18" borderId="0"/>
    <xf numFmtId="172" fontId="7" fillId="18" borderId="0"/>
    <xf numFmtId="172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2" fontId="7" fillId="19" borderId="0"/>
    <xf numFmtId="0" fontId="24" fillId="19" borderId="0"/>
    <xf numFmtId="172" fontId="7" fillId="19" borderId="0"/>
    <xf numFmtId="172" fontId="7" fillId="19" borderId="0"/>
    <xf numFmtId="172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2" fontId="8" fillId="23" borderId="7"/>
    <xf numFmtId="0" fontId="48" fillId="23" borderId="7"/>
    <xf numFmtId="172" fontId="8" fillId="23" borderId="7"/>
    <xf numFmtId="172" fontId="8" fillId="23" borderId="7"/>
    <xf numFmtId="172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2" fontId="9" fillId="23" borderId="8"/>
    <xf numFmtId="0" fontId="49" fillId="23" borderId="8"/>
    <xf numFmtId="172" fontId="9" fillId="23" borderId="8"/>
    <xf numFmtId="172" fontId="9" fillId="23" borderId="8"/>
    <xf numFmtId="172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0" fillId="7" borderId="8"/>
    <xf numFmtId="172" fontId="10" fillId="7" borderId="8"/>
    <xf numFmtId="0" fontId="50" fillId="7" borderId="8"/>
    <xf numFmtId="172" fontId="10" fillId="7" borderId="8"/>
    <xf numFmtId="172" fontId="10" fillId="7" borderId="8"/>
    <xf numFmtId="172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2" fontId="11" fillId="0" borderId="14"/>
    <xf numFmtId="0" fontId="32" fillId="0" borderId="14"/>
    <xf numFmtId="172" fontId="11" fillId="0" borderId="14"/>
    <xf numFmtId="172" fontId="11" fillId="0" borderId="14"/>
    <xf numFmtId="172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2" fontId="12" fillId="0" borderId="0"/>
    <xf numFmtId="0" fontId="51" fillId="0" borderId="0"/>
    <xf numFmtId="172" fontId="12" fillId="0" borderId="0"/>
    <xf numFmtId="172" fontId="12" fillId="0" borderId="0"/>
    <xf numFmtId="172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6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72" fontId="23" fillId="0" borderId="0"/>
    <xf numFmtId="196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6" fontId="23" fillId="0" borderId="0"/>
    <xf numFmtId="172" fontId="23" fillId="0" borderId="0"/>
    <xf numFmtId="196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6" fontId="23" fillId="0" borderId="0"/>
    <xf numFmtId="196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172" fontId="13" fillId="4" borderId="0"/>
    <xf numFmtId="0" fontId="52" fillId="4" borderId="0"/>
    <xf numFmtId="172" fontId="13" fillId="4" borderId="0"/>
    <xf numFmtId="172" fontId="13" fillId="4" borderId="0"/>
    <xf numFmtId="172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3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" fontId="40" fillId="0" borderId="0"/>
    <xf numFmtId="19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7" fontId="23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" fontId="40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7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0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0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0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115" fillId="42" borderId="23"/>
    <xf numFmtId="0" fontId="116" fillId="42" borderId="24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5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2" fontId="14" fillId="26" borderId="0"/>
    <xf numFmtId="0" fontId="53" fillId="26" borderId="0"/>
    <xf numFmtId="172" fontId="14" fillId="26" borderId="0"/>
    <xf numFmtId="172" fontId="14" fillId="26" borderId="0"/>
    <xf numFmtId="172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3" fontId="23" fillId="27" borderId="0"/>
    <xf numFmtId="172" fontId="23" fillId="27" borderId="0"/>
    <xf numFmtId="0" fontId="23" fillId="27" borderId="0"/>
    <xf numFmtId="193" fontId="23" fillId="27" borderId="0"/>
    <xf numFmtId="193" fontId="23" fillId="27" borderId="0"/>
    <xf numFmtId="172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172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0" fontId="8" fillId="23" borderId="7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2" fontId="15" fillId="3" borderId="0"/>
    <xf numFmtId="172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3" fontId="29" fillId="27" borderId="1"/>
    <xf numFmtId="172" fontId="29" fillId="27" borderId="1"/>
    <xf numFmtId="172" fontId="73" fillId="0" borderId="0"/>
    <xf numFmtId="0" fontId="2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125" fillId="0" borderId="0"/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4" fillId="0" borderId="0"/>
    <xf numFmtId="0" fontId="23" fillId="0" borderId="0"/>
    <xf numFmtId="0" fontId="4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2" fontId="4" fillId="0" borderId="0"/>
    <xf numFmtId="172" fontId="4" fillId="0" borderId="0"/>
    <xf numFmtId="0" fontId="4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11" fillId="0" borderId="14"/>
    <xf numFmtId="0" fontId="11" fillId="0" borderId="14"/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2" fontId="17" fillId="0" borderId="15"/>
    <xf numFmtId="172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2" fontId="18" fillId="0" borderId="16"/>
    <xf numFmtId="172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2" fontId="19" fillId="0" borderId="17"/>
    <xf numFmtId="172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2" fontId="19" fillId="0" borderId="0"/>
    <xf numFmtId="172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2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2" fontId="20" fillId="0" borderId="18"/>
    <xf numFmtId="172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44" fontId="23" fillId="0" borderId="0"/>
    <xf numFmtId="204" fontId="31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2" fontId="21" fillId="0" borderId="0"/>
    <xf numFmtId="172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2" fontId="22" fillId="24" borderId="10"/>
    <xf numFmtId="172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172" fontId="23" fillId="0" borderId="0"/>
    <xf numFmtId="172" fontId="23" fillId="0" borderId="0"/>
    <xf numFmtId="194" fontId="23" fillId="0" borderId="0"/>
    <xf numFmtId="197" fontId="23" fillId="0" borderId="0"/>
    <xf numFmtId="207" fontId="23" fillId="0" borderId="0"/>
    <xf numFmtId="197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55" borderId="0"/>
    <xf numFmtId="0" fontId="73" fillId="56" borderId="0"/>
    <xf numFmtId="0" fontId="73" fillId="57" borderId="0"/>
    <xf numFmtId="0" fontId="73" fillId="60" borderId="0"/>
    <xf numFmtId="0" fontId="73" fillId="58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9" borderId="0"/>
    <xf numFmtId="0" fontId="60" fillId="61" borderId="0"/>
    <xf numFmtId="0" fontId="60" fillId="62" borderId="0"/>
    <xf numFmtId="1" fontId="73" fillId="68" borderId="0"/>
    <xf numFmtId="1" fontId="73" fillId="69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62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3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 vertical="center" wrapText="1"/>
    </xf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91" fillId="0" borderId="42" pivotButton="0" quotePrefix="0" xfId="484"/>
    <xf numFmtId="0" fontId="91" fillId="35" borderId="22" applyAlignment="1" pivotButton="0" quotePrefix="0" xfId="484">
      <alignment horizontal="left" vertical="center" wrapText="1"/>
    </xf>
    <xf numFmtId="0" fontId="91" fillId="35" borderId="22" applyAlignment="1" pivotButton="0" quotePrefix="0" xfId="484">
      <alignment horizontal="center" wrapText="1"/>
    </xf>
    <xf numFmtId="0" fontId="0" fillId="54" borderId="0" pivotButton="0" quotePrefix="0" xfId="0"/>
    <xf numFmtId="2" fontId="0" fillId="54" borderId="0" pivotButton="0" quotePrefix="0" xfId="0"/>
    <xf numFmtId="0" fontId="91" fillId="35" borderId="32" applyAlignment="1" pivotButton="0" quotePrefix="0" xfId="484">
      <alignment horizontal="center" wrapText="1"/>
    </xf>
    <xf numFmtId="0" fontId="91" fillId="52" borderId="38" applyAlignment="1" pivotButton="0" quotePrefix="0" xfId="484">
      <alignment horizontal="left" vertical="center" wrapText="1"/>
    </xf>
    <xf numFmtId="0" fontId="5" fillId="35" borderId="35" applyAlignment="1" pivotButton="0" quotePrefix="0" xfId="0">
      <alignment horizontal="center"/>
    </xf>
    <xf numFmtId="0" fontId="5" fillId="35" borderId="34" applyAlignment="1" pivotButton="0" quotePrefix="0" xfId="0">
      <alignment horizontal="center"/>
    </xf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0" fontId="91" fillId="35" borderId="37" applyAlignment="1" pivotButton="0" quotePrefix="0" xfId="484">
      <alignment horizontal="center" wrapText="1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35" borderId="34" applyAlignment="1" pivotButton="0" quotePrefix="0" xfId="0">
      <alignment horizontal="center"/>
    </xf>
    <xf numFmtId="0" fontId="0" fillId="35" borderId="35" applyAlignment="1" pivotButton="0" quotePrefix="0" xfId="0">
      <alignment horizontal="center"/>
    </xf>
    <xf numFmtId="0" fontId="0" fillId="35" borderId="0" applyAlignment="1" pivotButton="0" quotePrefix="0" xfId="0">
      <alignment horizontal="center"/>
    </xf>
    <xf numFmtId="0" fontId="0" fillId="35" borderId="43" applyAlignment="1" pivotButton="0" quotePrefix="0" xfId="0">
      <alignment horizontal="center"/>
    </xf>
    <xf numFmtId="0" fontId="0" fillId="35" borderId="40" applyAlignment="1" pivotButton="0" quotePrefix="0" xfId="0">
      <alignment horizontal="center"/>
    </xf>
    <xf numFmtId="0" fontId="0" fillId="35" borderId="42" applyAlignment="1" pivotButton="0" quotePrefix="0" xfId="0">
      <alignment horizontal="center"/>
    </xf>
    <xf numFmtId="0" fontId="0" fillId="74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3" borderId="0" pivotButton="0" quotePrefix="0" xfId="0"/>
    <xf numFmtId="0" fontId="90" fillId="51" borderId="0" applyAlignment="1" pivotButton="0" quotePrefix="0" xfId="0">
      <alignment horizontal="left"/>
    </xf>
    <xf numFmtId="0" fontId="5" fillId="54" borderId="21" pivotButton="0" quotePrefix="0" xfId="0"/>
    <xf numFmtId="0" fontId="5" fillId="75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6" borderId="0" pivotButton="0" quotePrefix="0" xfId="0"/>
    <xf numFmtId="164" fontId="92" fillId="35" borderId="41" applyAlignment="1" pivotButton="0" quotePrefix="0" xfId="484">
      <alignment horizontal="center"/>
    </xf>
    <xf numFmtId="164" fontId="92" fillId="35" borderId="40" applyAlignment="1" pivotButton="0" quotePrefix="0" xfId="484">
      <alignment horizontal="center"/>
    </xf>
    <xf numFmtId="164" fontId="92" fillId="35" borderId="42" applyAlignment="1" pivotButton="0" quotePrefix="0" xfId="484">
      <alignment horizontal="center"/>
    </xf>
    <xf numFmtId="164" fontId="0" fillId="0" borderId="0" pivotButton="0" quotePrefix="0" xfId="0"/>
    <xf numFmtId="0" fontId="0" fillId="0" borderId="0" applyAlignment="1" pivotButton="0" quotePrefix="0" xfId="0">
      <alignment vertical="center"/>
    </xf>
  </cellXfs>
  <cellStyles count="38660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workbookViewId="0">
      <selection activeCell="C19" sqref="C19"/>
    </sheetView>
  </sheetViews>
  <sheetFormatPr baseColWidth="8" defaultColWidth="9.1796875" defaultRowHeight="12.5"/>
  <cols>
    <col width="16.81640625" bestFit="1" customWidth="1" style="55" min="2" max="2"/>
    <col width="15.36328125" customWidth="1" style="55" min="3" max="3"/>
    <col width="14.453125" bestFit="1" customWidth="1" style="55" min="4" max="4"/>
    <col width="15.08984375" bestFit="1" customWidth="1" style="55" min="7" max="7"/>
    <col width="11.453125" customWidth="1" style="55" min="8" max="8"/>
    <col width="14.36328125" customWidth="1" style="55" min="10" max="10"/>
    <col width="12.632812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55">
      <c r="B11" s="49" t="inlineStr">
        <is>
          <t>~Milestoneyears</t>
        </is>
      </c>
    </row>
    <row r="12">
      <c r="B12" t="inlineStr">
        <is>
          <t>type</t>
        </is>
      </c>
      <c r="C12" s="48" t="inlineStr">
        <is>
          <t>SEDOS</t>
        </is>
      </c>
      <c r="D12" s="4" t="inlineStr">
        <is>
          <t>msy2021-5p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6" t="n">
        <v>2021</v>
      </c>
      <c r="D14" s="47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6" t="n">
        <v>2024</v>
      </c>
      <c r="D15" s="47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6" t="n">
        <v>2027</v>
      </c>
      <c r="D16" s="47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6" t="n">
        <v>2030</v>
      </c>
      <c r="D17" s="47">
        <f>D16+5</f>
        <v/>
      </c>
      <c r="J17" t="n">
        <v>2035</v>
      </c>
      <c r="K17">
        <f>J17-J16</f>
        <v/>
      </c>
    </row>
    <row r="18">
      <c r="B18" t="inlineStr">
        <is>
          <t>milestoneyear</t>
        </is>
      </c>
      <c r="C18" s="46" t="n">
        <v>2035</v>
      </c>
      <c r="D18" s="47">
        <f>D17+5</f>
        <v/>
      </c>
      <c r="J18" t="n">
        <v>2040</v>
      </c>
      <c r="K18">
        <f>J18-J17</f>
        <v/>
      </c>
    </row>
    <row r="19">
      <c r="B19" t="inlineStr">
        <is>
          <t>milestoneyear</t>
        </is>
      </c>
      <c r="C19" s="46" t="n">
        <v>2040</v>
      </c>
      <c r="D19" s="47">
        <f>D18+5</f>
        <v/>
      </c>
      <c r="J19" t="n">
        <v>2045</v>
      </c>
      <c r="K19">
        <f>J19-J18</f>
        <v/>
      </c>
    </row>
    <row r="20">
      <c r="B20" t="inlineStr">
        <is>
          <t>milestoneyear</t>
        </is>
      </c>
      <c r="C20" s="46" t="n">
        <v>2045</v>
      </c>
      <c r="D20" s="47">
        <f>D19+5</f>
        <v/>
      </c>
      <c r="J20" t="n">
        <v>2050</v>
      </c>
      <c r="K20">
        <f>J20-J19</f>
        <v/>
      </c>
    </row>
    <row r="21">
      <c r="B21" t="inlineStr">
        <is>
          <t>milestoneyear</t>
        </is>
      </c>
      <c r="C21" s="46" t="n">
        <v>2050</v>
      </c>
      <c r="D21" s="47">
        <f>D20+5</f>
        <v/>
      </c>
      <c r="J21" t="n">
        <v>2060</v>
      </c>
      <c r="K21">
        <f>J21-J20</f>
        <v/>
      </c>
    </row>
    <row r="22">
      <c r="B22" t="inlineStr">
        <is>
          <t>milestoneyear</t>
        </is>
      </c>
      <c r="C22" s="46" t="n">
        <v>2060</v>
      </c>
      <c r="D22" s="47">
        <f>D21+5</f>
        <v/>
      </c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46" t="n">
        <v>2070</v>
      </c>
      <c r="D23" s="47">
        <f>D22+5</f>
        <v/>
      </c>
    </row>
    <row r="24">
      <c r="B24" t="inlineStr">
        <is>
          <t>milestoneyear</t>
        </is>
      </c>
      <c r="C24" s="46" t="n"/>
      <c r="D24" s="47">
        <f>D23+5</f>
        <v/>
      </c>
    </row>
    <row r="27" ht="14.4" customHeight="1" s="55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" customHeight="1" s="55">
      <c r="B28" s="5" t="n">
        <v>2021</v>
      </c>
    </row>
    <row r="35">
      <c r="B35" t="inlineStr">
        <is>
          <t>~TimePeriods</t>
        </is>
      </c>
    </row>
    <row r="36">
      <c r="B36" s="4" t="inlineStr">
        <is>
          <t>PeriodsDef-SEDOS</t>
        </is>
      </c>
      <c r="C36" t="inlineStr">
        <is>
          <t>P9_2060</t>
        </is>
      </c>
      <c r="D36" t="inlineStr">
        <is>
          <t>P6_2060</t>
        </is>
      </c>
    </row>
    <row r="37">
      <c r="B37" s="47" t="n">
        <v>1</v>
      </c>
      <c r="C37" t="n">
        <v>1</v>
      </c>
      <c r="D37" t="n">
        <v>1</v>
      </c>
    </row>
    <row r="38">
      <c r="B38" s="47" t="n">
        <v>3</v>
      </c>
      <c r="C38" t="n">
        <v>4</v>
      </c>
      <c r="D38" t="n">
        <v>3</v>
      </c>
    </row>
    <row r="39">
      <c r="B39" s="47" t="n">
        <v>3</v>
      </c>
      <c r="C39" t="n">
        <v>3</v>
      </c>
      <c r="D39" t="n">
        <v>7</v>
      </c>
    </row>
    <row r="40">
      <c r="B40" s="47" t="n">
        <v>5</v>
      </c>
      <c r="C40" t="n">
        <v>5</v>
      </c>
      <c r="D40" t="n">
        <v>10</v>
      </c>
    </row>
    <row r="41">
      <c r="B41" s="47" t="n">
        <v>5</v>
      </c>
      <c r="C41" t="n">
        <v>5</v>
      </c>
      <c r="D41" t="n">
        <v>20</v>
      </c>
    </row>
    <row r="42">
      <c r="B42" s="47" t="n">
        <v>5</v>
      </c>
      <c r="C42" t="n">
        <v>6</v>
      </c>
      <c r="D42" t="n">
        <v>20</v>
      </c>
    </row>
    <row r="43">
      <c r="B43" s="47" t="n">
        <v>5</v>
      </c>
      <c r="C43" t="n">
        <v>13</v>
      </c>
    </row>
    <row r="44">
      <c r="B44" s="47" t="n">
        <v>5</v>
      </c>
      <c r="C44" t="n">
        <v>8</v>
      </c>
    </row>
    <row r="45">
      <c r="B45" s="47">
        <f>K21</f>
        <v/>
      </c>
      <c r="C45" t="n">
        <v>12</v>
      </c>
    </row>
    <row r="46">
      <c r="B46" s="47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55" min="3" max="3"/>
  </cols>
  <sheetData>
    <row r="3" ht="17.4" customHeight="1" s="55">
      <c r="B3" s="50" t="inlineStr">
        <is>
          <t>Dummy Imp Prices</t>
        </is>
      </c>
      <c r="C3" s="50" t="n"/>
      <c r="D3" s="50" t="n"/>
    </row>
    <row r="5" ht="13" customHeight="1" s="55">
      <c r="B5" s="53" t="inlineStr">
        <is>
          <t>~TFM_UPD</t>
        </is>
      </c>
    </row>
    <row r="6" ht="13.75" customHeight="1" s="55" thickBot="1">
      <c r="B6" s="54" t="inlineStr">
        <is>
          <t>Attribute</t>
        </is>
      </c>
      <c r="C6" s="51" t="inlineStr">
        <is>
          <t>DE</t>
        </is>
      </c>
      <c r="D6" s="52" t="inlineStr">
        <is>
          <t>Pset_Set</t>
        </is>
      </c>
      <c r="E6" s="52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55">
      <c r="B15" s="53" t="inlineStr">
        <is>
          <t>~TFM_MIG</t>
        </is>
      </c>
    </row>
    <row r="16" ht="13.75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55" min="1" max="1"/>
    <col width="9.1796875" customWidth="1" style="55" min="2" max="3"/>
  </cols>
  <sheetData>
    <row r="1" ht="13" customHeight="1" s="55">
      <c r="A1" s="53" t="inlineStr">
        <is>
          <t>~BookRegions_Map</t>
        </is>
      </c>
    </row>
    <row r="2" ht="13" customHeight="1" s="55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A42"/>
  <sheetViews>
    <sheetView workbookViewId="0">
      <selection activeCell="E17" sqref="E17"/>
    </sheetView>
  </sheetViews>
  <sheetFormatPr baseColWidth="8" defaultColWidth="8.90625" defaultRowHeight="12.5"/>
  <cols>
    <col width="11.1796875" customWidth="1" style="55" min="2" max="2"/>
  </cols>
  <sheetData>
    <row r="2" ht="13" customHeight="1" s="55">
      <c r="B2" s="53" t="inlineStr">
        <is>
          <t>~TimeSlices</t>
        </is>
      </c>
      <c r="C2" s="2" t="n"/>
      <c r="D2" s="2" t="n"/>
    </row>
    <row r="3" ht="13" customHeight="1" s="55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n"/>
      <c r="D4" s="3" t="inlineStr">
        <is>
          <t>D</t>
        </is>
      </c>
    </row>
    <row r="5">
      <c r="B5" s="3" t="inlineStr">
        <is>
          <t>F</t>
        </is>
      </c>
      <c r="C5" s="3" t="n"/>
      <c r="D5" s="3" t="inlineStr">
        <is>
          <t>P</t>
        </is>
      </c>
    </row>
    <row r="6">
      <c r="B6" s="3" t="inlineStr">
        <is>
          <t>W</t>
        </is>
      </c>
      <c r="C6" s="3" t="n"/>
      <c r="D6" s="3" t="inlineStr">
        <is>
          <t>N</t>
        </is>
      </c>
    </row>
    <row r="7">
      <c r="B7" s="3" t="inlineStr">
        <is>
          <t>R</t>
        </is>
      </c>
      <c r="C7" s="3" t="n"/>
      <c r="D7" s="3" t="n"/>
    </row>
    <row r="10" ht="13" customHeight="1" s="55">
      <c r="B10" s="7" t="inlineStr">
        <is>
          <t>~TFM_INS</t>
        </is>
      </c>
    </row>
    <row r="11" ht="13.75" customHeight="1" s="55" thickBot="1">
      <c r="B11" s="54" t="inlineStr">
        <is>
          <t>TimeSlice</t>
        </is>
      </c>
      <c r="C11" s="54" t="inlineStr">
        <is>
          <t>LimType</t>
        </is>
      </c>
      <c r="D11" s="54" t="inlineStr">
        <is>
          <t>Attribute</t>
        </is>
      </c>
      <c r="E11" s="54" t="inlineStr">
        <is>
          <t>AllRegions</t>
        </is>
      </c>
      <c r="F11" s="54" t="inlineStr">
        <is>
          <t>DE</t>
        </is>
      </c>
      <c r="G11" s="54" t="inlineStr">
        <is>
          <t>IMPEXP</t>
        </is>
      </c>
      <c r="H11" s="54" t="inlineStr">
        <is>
          <t>Cset_CN</t>
        </is>
      </c>
    </row>
    <row r="12">
      <c r="B12" s="25" t="inlineStr">
        <is>
          <t>S</t>
        </is>
      </c>
      <c r="C12" s="25" t="n"/>
      <c r="D12" s="25" t="inlineStr">
        <is>
          <t>YRFR</t>
        </is>
      </c>
      <c r="E12" s="26" t="n">
        <v>0.210958904109589</v>
      </c>
    </row>
    <row r="13">
      <c r="B13" s="25" t="inlineStr">
        <is>
          <t>F</t>
        </is>
      </c>
      <c r="C13" s="25" t="n"/>
      <c r="D13" s="25" t="inlineStr">
        <is>
          <t>YRFR</t>
        </is>
      </c>
      <c r="E13" s="26" t="n">
        <v>0.2493150684931507</v>
      </c>
    </row>
    <row r="14">
      <c r="B14" s="25" t="inlineStr">
        <is>
          <t>W</t>
        </is>
      </c>
      <c r="C14" s="25" t="n"/>
      <c r="D14" s="25" t="inlineStr">
        <is>
          <t>YRFR</t>
        </is>
      </c>
      <c r="E14" s="26" t="n">
        <v>0.210958904109589</v>
      </c>
    </row>
    <row r="15">
      <c r="B15" s="25" t="inlineStr">
        <is>
          <t>R</t>
        </is>
      </c>
      <c r="C15" s="25" t="n"/>
      <c r="D15" s="25" t="inlineStr">
        <is>
          <t>YRFR</t>
        </is>
      </c>
      <c r="E15" s="26" t="n">
        <v>0.3287671232876712</v>
      </c>
    </row>
    <row r="22" ht="17.4" customHeight="1" s="55">
      <c r="B22" s="10" t="inlineStr">
        <is>
          <t>Time slices</t>
        </is>
      </c>
      <c r="C22" s="11" t="n"/>
      <c r="D22" s="12" t="n"/>
      <c r="E22" s="12" t="n"/>
      <c r="F22" s="12" t="n"/>
    </row>
    <row r="23">
      <c r="B23" s="14" t="n"/>
      <c r="C23" s="13" t="n"/>
      <c r="D23" s="13" t="n"/>
      <c r="E23" s="14" t="n"/>
      <c r="F23" s="14" t="n"/>
    </row>
    <row r="24">
      <c r="B24" s="16" t="inlineStr">
        <is>
          <t>Attribute</t>
        </is>
      </c>
      <c r="C24" s="30" t="inlineStr">
        <is>
          <t>RD</t>
        </is>
      </c>
      <c r="D24" s="30" t="inlineStr">
        <is>
          <t>RN</t>
        </is>
      </c>
      <c r="E24" s="30" t="inlineStr">
        <is>
          <t>RP</t>
        </is>
      </c>
      <c r="F24" s="30" t="inlineStr">
        <is>
          <t>SD</t>
        </is>
      </c>
      <c r="G24" s="30" t="inlineStr">
        <is>
          <t>SN</t>
        </is>
      </c>
      <c r="H24" s="30" t="inlineStr">
        <is>
          <t>SP</t>
        </is>
      </c>
      <c r="I24" s="30" t="inlineStr">
        <is>
          <t>FD</t>
        </is>
      </c>
      <c r="J24" s="30" t="inlineStr">
        <is>
          <t>FN</t>
        </is>
      </c>
      <c r="K24" s="30" t="inlineStr">
        <is>
          <t>FP</t>
        </is>
      </c>
      <c r="L24" s="30" t="inlineStr">
        <is>
          <t>WD</t>
        </is>
      </c>
      <c r="M24" s="30" t="inlineStr">
        <is>
          <t>WN</t>
        </is>
      </c>
      <c r="N24" s="29" t="inlineStr">
        <is>
          <t>WP</t>
        </is>
      </c>
    </row>
    <row r="25" ht="24" customHeight="1" s="55">
      <c r="B25" s="28" t="n"/>
      <c r="C25" s="24" t="inlineStr">
        <is>
          <t>Rest Day</t>
        </is>
      </c>
      <c r="D25" s="33" t="inlineStr">
        <is>
          <t>Rest Night</t>
        </is>
      </c>
      <c r="E25" s="33" t="inlineStr">
        <is>
          <t>Rest Peak</t>
        </is>
      </c>
      <c r="F25" s="33" t="inlineStr">
        <is>
          <t>Summer Day</t>
        </is>
      </c>
      <c r="G25" s="33" t="inlineStr">
        <is>
          <t>Summer Night</t>
        </is>
      </c>
      <c r="H25" s="33" t="inlineStr">
        <is>
          <t>Summer Peak</t>
        </is>
      </c>
      <c r="I25" s="33" t="inlineStr">
        <is>
          <t>Fall Day</t>
        </is>
      </c>
      <c r="J25" s="33" t="inlineStr">
        <is>
          <t>Fall Night</t>
        </is>
      </c>
      <c r="K25" s="33" t="inlineStr">
        <is>
          <t>Fall Peak</t>
        </is>
      </c>
      <c r="L25" s="33" t="inlineStr">
        <is>
          <t>Winter Day</t>
        </is>
      </c>
      <c r="M25" s="33" t="inlineStr">
        <is>
          <t>Winter Night</t>
        </is>
      </c>
      <c r="N25" s="27" t="inlineStr">
        <is>
          <t>Winter Peak</t>
        </is>
      </c>
    </row>
    <row r="26">
      <c r="B26" s="23" t="inlineStr">
        <is>
          <t>YRFR</t>
        </is>
      </c>
      <c r="C26" s="57">
        <f>(C39/$G$39)*$E$30</f>
        <v/>
      </c>
      <c r="D26" s="58">
        <f>(D39/$G$39)*$E$30</f>
        <v/>
      </c>
      <c r="E26" s="58">
        <f>(E39/$G$39)*$E$30</f>
        <v/>
      </c>
      <c r="F26" s="58">
        <f>(C40/$G$40)*$E$31</f>
        <v/>
      </c>
      <c r="G26" s="58">
        <f>(D40/$G$40)*$E$31</f>
        <v/>
      </c>
      <c r="H26" s="58">
        <f>(E40/$G$40)*$E$31</f>
        <v/>
      </c>
      <c r="I26" s="58">
        <f>(C41/$G$41)*$E$32</f>
        <v/>
      </c>
      <c r="J26" s="58">
        <f>(D41/$G$41)*$E$32</f>
        <v/>
      </c>
      <c r="K26" s="58">
        <f>(E41/$G$41)*$E$32</f>
        <v/>
      </c>
      <c r="L26" s="58">
        <f>(C42/$G$42)*$E$33</f>
        <v/>
      </c>
      <c r="M26" s="58">
        <f>(D42/$G$42)*$E$33</f>
        <v/>
      </c>
      <c r="N26" s="59">
        <f>(E42/$G$42)*$E$33</f>
        <v/>
      </c>
      <c r="O26" s="60">
        <f>SUM(C26:N26)</f>
        <v/>
      </c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</row>
    <row r="29">
      <c r="B29" s="15" t="n"/>
      <c r="C29" s="17" t="inlineStr">
        <is>
          <t>Seasons</t>
        </is>
      </c>
      <c r="D29" s="18" t="inlineStr">
        <is>
          <t>N. of Days</t>
        </is>
      </c>
      <c r="E29" s="19" t="inlineStr">
        <is>
          <t>Fraction</t>
        </is>
      </c>
    </row>
    <row r="30">
      <c r="B30" s="20" t="inlineStr">
        <is>
          <t>Rest</t>
        </is>
      </c>
      <c r="C30" s="20" t="inlineStr">
        <is>
          <t>R</t>
        </is>
      </c>
      <c r="D30" s="38" t="n">
        <v>77</v>
      </c>
      <c r="E30" s="34">
        <f>D30/$D$34</f>
        <v/>
      </c>
    </row>
    <row r="31">
      <c r="B31" s="9" t="inlineStr">
        <is>
          <t>Summer</t>
        </is>
      </c>
      <c r="C31" s="9" t="inlineStr">
        <is>
          <t>S</t>
        </is>
      </c>
      <c r="D31" s="38" t="n">
        <v>91</v>
      </c>
      <c r="E31" s="34">
        <f>D31/$D$34</f>
        <v/>
      </c>
    </row>
    <row r="32">
      <c r="B32" s="9" t="inlineStr">
        <is>
          <t>Fall</t>
        </is>
      </c>
      <c r="C32" s="9" t="inlineStr">
        <is>
          <t>F</t>
        </is>
      </c>
      <c r="D32" s="38" t="n">
        <v>77</v>
      </c>
      <c r="E32" s="34">
        <f>D32/$D$34</f>
        <v/>
      </c>
    </row>
    <row r="33">
      <c r="B33" s="21" t="inlineStr">
        <is>
          <t>Winter</t>
        </is>
      </c>
      <c r="C33" s="21" t="inlineStr">
        <is>
          <t xml:space="preserve">W </t>
        </is>
      </c>
      <c r="D33" s="39" t="n">
        <v>120</v>
      </c>
      <c r="E33" s="32">
        <f>D33/$D$34</f>
        <v/>
      </c>
    </row>
    <row r="34">
      <c r="D34">
        <f>SUM(D30:D33)</f>
        <v/>
      </c>
      <c r="E34">
        <f>SUM(E30:E33)</f>
        <v/>
      </c>
    </row>
    <row r="37">
      <c r="C37" s="35" t="inlineStr">
        <is>
          <t>D</t>
        </is>
      </c>
      <c r="D37" s="35" t="inlineStr">
        <is>
          <t>N</t>
        </is>
      </c>
      <c r="E37" s="31" t="inlineStr">
        <is>
          <t>P</t>
        </is>
      </c>
    </row>
    <row r="38">
      <c r="B38" s="22" t="n"/>
      <c r="C38" s="35" t="inlineStr">
        <is>
          <t>Day</t>
        </is>
      </c>
      <c r="D38" s="35" t="inlineStr">
        <is>
          <t>Night</t>
        </is>
      </c>
      <c r="E38" s="31" t="inlineStr">
        <is>
          <t>Peak</t>
        </is>
      </c>
    </row>
    <row r="39">
      <c r="B39" s="20" t="inlineStr">
        <is>
          <t>R</t>
        </is>
      </c>
      <c r="C39" s="35" t="n">
        <v>11</v>
      </c>
      <c r="D39" s="40" t="n">
        <v>12</v>
      </c>
      <c r="E39" s="41" t="n">
        <v>1</v>
      </c>
      <c r="G39">
        <f>SUM(C39:E39)</f>
        <v/>
      </c>
    </row>
    <row r="40">
      <c r="B40" s="9" t="inlineStr">
        <is>
          <t>S</t>
        </is>
      </c>
      <c r="C40" s="36" t="n">
        <v>11</v>
      </c>
      <c r="D40" s="42" t="n">
        <v>12</v>
      </c>
      <c r="E40" s="43" t="n">
        <v>1</v>
      </c>
      <c r="G40">
        <f>SUM(C40:E40)</f>
        <v/>
      </c>
    </row>
    <row r="41">
      <c r="B41" s="9" t="inlineStr">
        <is>
          <t>F</t>
        </is>
      </c>
      <c r="C41" s="36" t="n">
        <v>11</v>
      </c>
      <c r="D41" s="42" t="n">
        <v>12</v>
      </c>
      <c r="E41" s="43" t="n">
        <v>1</v>
      </c>
      <c r="G41">
        <f>SUM(C41:E41)</f>
        <v/>
      </c>
    </row>
    <row r="42">
      <c r="B42" s="21" t="inlineStr">
        <is>
          <t xml:space="preserve">W </t>
        </is>
      </c>
      <c r="C42" s="37" t="n">
        <v>11</v>
      </c>
      <c r="D42" s="44" t="n">
        <v>12</v>
      </c>
      <c r="E42" s="45" t="n">
        <v>1</v>
      </c>
      <c r="G42">
        <f>SUM(C42:E42)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D11" sqref="D11"/>
    </sheetView>
  </sheetViews>
  <sheetFormatPr baseColWidth="8" defaultColWidth="8.90625" defaultRowHeight="12.5"/>
  <cols>
    <col width="9.453125" bestFit="1" customWidth="1" style="55" min="4" max="4"/>
  </cols>
  <sheetData>
    <row r="3" ht="13" customHeight="1" s="55">
      <c r="B3" s="7" t="inlineStr">
        <is>
          <t>~TFM_INS</t>
        </is>
      </c>
    </row>
    <row r="4" ht="13.75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"/>
  <sheetViews>
    <sheetView tabSelected="1" workbookViewId="0">
      <selection activeCell="B5" sqref="B5:F15"/>
    </sheetView>
  </sheetViews>
  <sheetFormatPr baseColWidth="8" defaultColWidth="8.90625" defaultRowHeight="12.5"/>
  <cols>
    <col width="104.6328125" bestFit="1" customWidth="1" style="55" min="2" max="2"/>
    <col width="16.36328125" customWidth="1" style="55" min="3" max="3"/>
    <col width="9.36328125" bestFit="1" customWidth="1" style="55" min="4" max="4"/>
    <col width="8.1796875" bestFit="1" customWidth="1" style="55" min="5" max="5"/>
    <col width="134.6328125" bestFit="1" customWidth="1" style="55" min="6" max="6"/>
    <col width="8.0898437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cg_g_e</t>
        </is>
      </c>
      <c r="D5" s="61" t="inlineStr">
        <is>
          <t>y</t>
        </is>
      </c>
      <c r="F5" t="inlineStr">
        <is>
          <t>sec_gasoline, sec_ethanol</t>
        </is>
      </c>
    </row>
    <row r="6">
      <c r="D6" s="61" t="n"/>
    </row>
    <row r="7">
      <c r="D7" s="61" t="n"/>
    </row>
    <row r="8">
      <c r="D8" s="61" t="n"/>
    </row>
    <row r="9">
      <c r="D9" s="61" t="n"/>
    </row>
    <row r="10">
      <c r="D10" s="61" t="n"/>
    </row>
    <row r="11">
      <c r="D11" s="61" t="n"/>
    </row>
    <row r="12">
      <c r="D12" s="61" t="n"/>
    </row>
    <row r="13">
      <c r="D13" s="61" t="n"/>
    </row>
    <row r="14">
      <c r="D14" s="61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2025-03-24T12:07:21Z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