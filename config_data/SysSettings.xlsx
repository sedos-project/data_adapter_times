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15" windowWidth="5265" windowHeight="7965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62913" fullCalcOnLoad="1"/>
</workbook>
</file>

<file path=xl/styles.xml><?xml version="1.0" encoding="utf-8"?>
<styleSheet xmlns="http://schemas.openxmlformats.org/spreadsheetml/2006/main">
  <numFmts count="58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 * #,##0.00_ ;_ * \-#,##0.00_ ;_ * &quot;-&quot;??_ ;_ @_ "/>
    <numFmt numFmtId="210" formatCode="_-* #,##0.00_-;\-* #,##0.00_-;_-* \-??_-;_-@_-"/>
    <numFmt numFmtId="211" formatCode="_(&quot;£&quot;* #,##0.00_);_(&quot;£&quot;* \(#,##0.00\);_(&quot;£&quot;* &quot;-&quot;??_);_(@_)"/>
    <numFmt numFmtId="212" formatCode="_-[$€-2]* #,##0.00_-;\-[$€-2]* #,##0.00_-;_-[$€-2]* &quot;-&quot;??_-"/>
    <numFmt numFmtId="213" formatCode="[&gt;0.5]#,##0;[&lt;-0.5]\-#,##0;\-"/>
    <numFmt numFmtId="214" formatCode="_-* #,##0\ _F_-;\-* #,##0\ _F_-;_-* &quot;-&quot;\ _F_-;_-@_-"/>
    <numFmt numFmtId="215" formatCode="_-* #,##0.00\ _F_-;\-* #,##0.00\ _F_-;_-* &quot;-&quot;??\ _F_-;_-@_-"/>
    <numFmt numFmtId="216" formatCode="_-* #,##0\ &quot;F&quot;_-;\-* #,##0\ &quot;F&quot;_-;_-* &quot;-&quot;\ &quot;F&quot;_-;_-@_-"/>
    <numFmt numFmtId="217" formatCode="_-* #,##0.00\ &quot;F&quot;_-;\-* #,##0.00\ &quot;F&quot;_-;_-* &quot;-&quot;??\ &quot;F&quot;_-;_-@_-"/>
    <numFmt numFmtId="218" formatCode="#,##0.0;\-#,##0.0;&quot;-&quot;"/>
    <numFmt numFmtId="219" formatCode="_ * #,##0_ ;_ * \-#,##0_ ;_ * &quot;-&quot;_ ;_ @_ "/>
    <numFmt numFmtId="220" formatCode="_ &quot;kr&quot;\ * #,##0_ ;_ &quot;kr&quot;\ * \-#,##0_ ;_ &quot;kr&quot;\ * &quot;-&quot;_ ;_ @_ "/>
    <numFmt numFmtId="221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0">
    <xf numFmtId="0" fontId="93" fillId="0" borderId="0"/>
    <xf numFmtId="166" fontId="4" fillId="0" borderId="0"/>
    <xf numFmtId="49" fontId="4" fillId="0" borderId="0"/>
    <xf numFmtId="167" fontId="4" fillId="0" borderId="0" applyAlignment="1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35" fillId="0" borderId="0"/>
    <xf numFmtId="0" fontId="6" fillId="2" borderId="0"/>
    <xf numFmtId="0" fontId="6" fillId="2" borderId="0"/>
    <xf numFmtId="173" fontId="6" fillId="2" borderId="0"/>
    <xf numFmtId="0" fontId="47" fillId="2" borderId="0"/>
    <xf numFmtId="0" fontId="6" fillId="3" borderId="0"/>
    <xf numFmtId="0" fontId="6" fillId="3" borderId="0"/>
    <xf numFmtId="173" fontId="6" fillId="3" borderId="0"/>
    <xf numFmtId="0" fontId="47" fillId="3" borderId="0"/>
    <xf numFmtId="0" fontId="6" fillId="4" borderId="0"/>
    <xf numFmtId="0" fontId="6" fillId="4" borderId="0"/>
    <xf numFmtId="173" fontId="6" fillId="4" borderId="0"/>
    <xf numFmtId="0" fontId="47" fillId="4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6" borderId="0"/>
    <xf numFmtId="0" fontId="6" fillId="6" borderId="0"/>
    <xf numFmtId="173" fontId="6" fillId="6" borderId="0"/>
    <xf numFmtId="0" fontId="47" fillId="6" borderId="0"/>
    <xf numFmtId="0" fontId="6" fillId="7" borderId="0"/>
    <xf numFmtId="0" fontId="6" fillId="7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4" fontId="36" fillId="0" borderId="0"/>
    <xf numFmtId="175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6" fontId="4" fillId="0" borderId="0"/>
    <xf numFmtId="177" fontId="4" fillId="0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9" borderId="0"/>
    <xf numFmtId="0" fontId="6" fillId="9" borderId="0"/>
    <xf numFmtId="173" fontId="6" fillId="9" borderId="0"/>
    <xf numFmtId="0" fontId="47" fillId="9" borderId="0"/>
    <xf numFmtId="0" fontId="6" fillId="10" borderId="0"/>
    <xf numFmtId="0" fontId="6" fillId="10" borderId="0"/>
    <xf numFmtId="173" fontId="6" fillId="10" borderId="0"/>
    <xf numFmtId="0" fontId="47" fillId="10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11" borderId="0"/>
    <xf numFmtId="0" fontId="6" fillId="11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8" fontId="4" fillId="0" borderId="0"/>
    <xf numFmtId="179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3" fontId="7" fillId="12" borderId="0"/>
    <xf numFmtId="0" fontId="24" fillId="12" borderId="0"/>
    <xf numFmtId="0" fontId="7" fillId="9" borderId="0"/>
    <xf numFmtId="0" fontId="7" fillId="9" borderId="0"/>
    <xf numFmtId="173" fontId="7" fillId="9" borderId="0"/>
    <xf numFmtId="0" fontId="24" fillId="9" borderId="0"/>
    <xf numFmtId="0" fontId="7" fillId="10" borderId="0"/>
    <xf numFmtId="0" fontId="7" fillId="10" borderId="0"/>
    <xf numFmtId="173" fontId="7" fillId="10" borderId="0"/>
    <xf numFmtId="0" fontId="24" fillId="10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5" borderId="0"/>
    <xf numFmtId="0" fontId="7" fillId="15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184" fontId="4" fillId="0" borderId="0" applyAlignment="1">
      <alignment horizontal="center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0" fontId="30" fillId="20" borderId="0"/>
    <xf numFmtId="194" fontId="30" fillId="20" borderId="0"/>
    <xf numFmtId="0" fontId="29" fillId="20" borderId="0" applyAlignment="1">
      <alignment horizontal="right" vertical="center"/>
    </xf>
    <xf numFmtId="194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4" fontId="29" fillId="21" borderId="0" applyAlignment="1">
      <alignment horizontal="right" vertical="center"/>
    </xf>
    <xf numFmtId="194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4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4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4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4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3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3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3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3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3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3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3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3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3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6" fontId="23" fillId="0" borderId="0"/>
    <xf numFmtId="196" fontId="23" fillId="0" borderId="0"/>
    <xf numFmtId="173" fontId="23" fillId="0" borderId="0"/>
    <xf numFmtId="196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6" fontId="23" fillId="0" borderId="0"/>
    <xf numFmtId="173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0" fontId="13" fillId="4" borderId="0"/>
    <xf numFmtId="173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3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4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6" fontId="35" fillId="0" borderId="0"/>
    <xf numFmtId="0" fontId="14" fillId="26" borderId="0"/>
    <xf numFmtId="0" fontId="14" fillId="26" borderId="0"/>
    <xf numFmtId="173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3" fontId="23" fillId="27" borderId="0"/>
    <xf numFmtId="0" fontId="23" fillId="27" borderId="0"/>
    <xf numFmtId="194" fontId="23" fillId="27" borderId="0"/>
    <xf numFmtId="173" fontId="23" fillId="27" borderId="0"/>
    <xf numFmtId="0" fontId="41" fillId="28" borderId="0"/>
    <xf numFmtId="194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3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4" fontId="29" fillId="27" borderId="1"/>
    <xf numFmtId="173" fontId="29" fillId="27" borderId="1"/>
    <xf numFmtId="0" fontId="29" fillId="27" borderId="4"/>
    <xf numFmtId="0" fontId="23" fillId="0" borderId="0"/>
    <xf numFmtId="0" fontId="23" fillId="0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3" fontId="4" fillId="0" borderId="0"/>
    <xf numFmtId="173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3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3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3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3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3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205" fontId="31" fillId="0" borderId="0"/>
    <xf numFmtId="44" fontId="23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3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3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95" fontId="23" fillId="0" borderId="0"/>
    <xf numFmtId="173" fontId="23" fillId="0" borderId="0"/>
    <xf numFmtId="17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3" fontId="23" fillId="27" borderId="0"/>
    <xf numFmtId="0" fontId="23" fillId="27" borderId="0"/>
    <xf numFmtId="173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4" borderId="0"/>
    <xf numFmtId="0" fontId="6" fillId="3" borderId="0"/>
    <xf numFmtId="0" fontId="73" fillId="55" borderId="0"/>
    <xf numFmtId="0" fontId="6" fillId="4" borderId="0"/>
    <xf numFmtId="0" fontId="73" fillId="56" borderId="0"/>
    <xf numFmtId="0" fontId="6" fillId="5" borderId="0"/>
    <xf numFmtId="0" fontId="73" fillId="59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7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8" borderId="0"/>
    <xf numFmtId="0" fontId="7" fillId="13" borderId="0"/>
    <xf numFmtId="0" fontId="60" fillId="60" borderId="0"/>
    <xf numFmtId="0" fontId="7" fillId="14" borderId="0"/>
    <xf numFmtId="0" fontId="7" fillId="15" borderId="0"/>
    <xf numFmtId="0" fontId="60" fillId="61" borderId="0"/>
    <xf numFmtId="0" fontId="1" fillId="0" borderId="0" applyAlignment="1">
      <alignment horizontal="center" vertical="center"/>
    </xf>
    <xf numFmtId="0" fontId="108" fillId="63" borderId="0"/>
    <xf numFmtId="0" fontId="1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7" borderId="0"/>
    <xf numFmtId="209" fontId="6" fillId="0" borderId="0"/>
    <xf numFmtId="209" fontId="6" fillId="0" borderId="0"/>
    <xf numFmtId="21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09" fontId="47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47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107" fillId="0" borderId="0"/>
    <xf numFmtId="209" fontId="107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1" fontId="23" fillId="0" borderId="0"/>
    <xf numFmtId="211" fontId="23" fillId="0" borderId="0"/>
    <xf numFmtId="1" fontId="73" fillId="68" borderId="0"/>
    <xf numFmtId="0" fontId="23" fillId="69" borderId="0"/>
    <xf numFmtId="0" fontId="23" fillId="69" borderId="0"/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96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2" fontId="23" fillId="0" borderId="0"/>
    <xf numFmtId="212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1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1" borderId="0" applyAlignment="1">
      <alignment horizontal="left"/>
    </xf>
    <xf numFmtId="213" fontId="103" fillId="0" borderId="0" applyAlignment="1">
      <alignment horizontal="left" vertical="center"/>
    </xf>
    <xf numFmtId="213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4" fontId="23" fillId="0" borderId="0"/>
    <xf numFmtId="215" fontId="23" fillId="0" borderId="0"/>
    <xf numFmtId="216" fontId="23" fillId="0" borderId="0"/>
    <xf numFmtId="217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8" fontId="23" fillId="0" borderId="0"/>
    <xf numFmtId="218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9" fontId="40" fillId="0" borderId="0"/>
    <xf numFmtId="213" fontId="102" fillId="0" borderId="0"/>
    <xf numFmtId="219" fontId="40" fillId="0" borderId="0"/>
    <xf numFmtId="220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95" fillId="64" borderId="0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5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2" borderId="21" applyAlignment="1">
      <alignment horizontal="center" vertical="center" wrapText="1"/>
    </xf>
    <xf numFmtId="0" fontId="99" fillId="72" borderId="21" applyAlignment="1">
      <alignment horizontal="center" vertical="center" wrapText="1"/>
    </xf>
    <xf numFmtId="0" fontId="99" fillId="72" borderId="21" applyAlignment="1">
      <alignment vertical="center" wrapText="1"/>
    </xf>
    <xf numFmtId="221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3" fontId="6" fillId="2" borderId="0"/>
    <xf numFmtId="0" fontId="47" fillId="2" borderId="0"/>
    <xf numFmtId="173" fontId="6" fillId="3" borderId="0"/>
    <xf numFmtId="0" fontId="47" fillId="3" borderId="0"/>
    <xf numFmtId="173" fontId="6" fillId="4" borderId="0"/>
    <xf numFmtId="0" fontId="47" fillId="4" borderId="0"/>
    <xf numFmtId="173" fontId="6" fillId="5" borderId="0"/>
    <xf numFmtId="0" fontId="47" fillId="5" borderId="0"/>
    <xf numFmtId="173" fontId="6" fillId="6" borderId="0"/>
    <xf numFmtId="0" fontId="47" fillId="6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6" fillId="8" borderId="0"/>
    <xf numFmtId="0" fontId="47" fillId="8" borderId="0"/>
    <xf numFmtId="173" fontId="6" fillId="9" borderId="0"/>
    <xf numFmtId="0" fontId="47" fillId="9" borderId="0"/>
    <xf numFmtId="173" fontId="6" fillId="10" borderId="0"/>
    <xf numFmtId="0" fontId="47" fillId="10" borderId="0"/>
    <xf numFmtId="173" fontId="6" fillId="5" borderId="0"/>
    <xf numFmtId="0" fontId="47" fillId="5" borderId="0"/>
    <xf numFmtId="173" fontId="6" fillId="8" borderId="0"/>
    <xf numFmtId="0" fontId="47" fillId="8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7" fillId="12" borderId="0"/>
    <xf numFmtId="0" fontId="24" fillId="12" borderId="0"/>
    <xf numFmtId="173" fontId="7" fillId="9" borderId="0"/>
    <xf numFmtId="0" fontId="24" fillId="9" borderId="0"/>
    <xf numFmtId="173" fontId="7" fillId="10" borderId="0"/>
    <xf numFmtId="0" fontId="24" fillId="10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3" fontId="7" fillId="16" borderId="0"/>
    <xf numFmtId="0" fontId="24" fillId="16" borderId="0"/>
    <xf numFmtId="173" fontId="7" fillId="17" borderId="0"/>
    <xf numFmtId="0" fontId="24" fillId="17" borderId="0"/>
    <xf numFmtId="173" fontId="7" fillId="18" borderId="0"/>
    <xf numFmtId="0" fontId="24" fillId="18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9" borderId="0"/>
    <xf numFmtId="0" fontId="24" fillId="19" borderId="0"/>
    <xf numFmtId="173" fontId="8" fillId="23" borderId="7"/>
    <xf numFmtId="0" fontId="48" fillId="23" borderId="7"/>
    <xf numFmtId="173" fontId="9" fillId="23" borderId="8"/>
    <xf numFmtId="0" fontId="49" fillId="23" borderId="8"/>
    <xf numFmtId="0" fontId="9" fillId="23" borderId="8"/>
    <xf numFmtId="173" fontId="10" fillId="7" borderId="8"/>
    <xf numFmtId="0" fontId="50" fillId="7" borderId="8"/>
    <xf numFmtId="173" fontId="11" fillId="0" borderId="14"/>
    <xf numFmtId="0" fontId="32" fillId="0" borderId="14"/>
    <xf numFmtId="173" fontId="12" fillId="0" borderId="0"/>
    <xf numFmtId="0" fontId="51" fillId="0" borderId="0"/>
    <xf numFmtId="195" fontId="23" fillId="0" borderId="0"/>
    <xf numFmtId="0" fontId="12" fillId="0" borderId="0"/>
    <xf numFmtId="173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3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15" fillId="3" borderId="0"/>
    <xf numFmtId="0" fontId="54" fillId="3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3" fontId="17" fillId="0" borderId="15"/>
    <xf numFmtId="0" fontId="55" fillId="0" borderId="15"/>
    <xf numFmtId="173" fontId="18" fillId="0" borderId="16"/>
    <xf numFmtId="0" fontId="56" fillId="0" borderId="16"/>
    <xf numFmtId="173" fontId="19" fillId="0" borderId="17"/>
    <xf numFmtId="0" fontId="57" fillId="0" borderId="17"/>
    <xf numFmtId="173" fontId="19" fillId="0" borderId="0"/>
    <xf numFmtId="0" fontId="57" fillId="0" borderId="0"/>
    <xf numFmtId="173" fontId="20" fillId="0" borderId="18"/>
    <xf numFmtId="0" fontId="58" fillId="0" borderId="18"/>
    <xf numFmtId="173" fontId="21" fillId="0" borderId="0"/>
    <xf numFmtId="0" fontId="26" fillId="0" borderId="0"/>
    <xf numFmtId="0" fontId="21" fillId="0" borderId="0"/>
    <xf numFmtId="173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4" fontId="23" fillId="0" borderId="0"/>
    <xf numFmtId="173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2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3" fontId="73" fillId="0" borderId="0"/>
    <xf numFmtId="0" fontId="7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4" fontId="2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44" fontId="23" fillId="0" borderId="0"/>
    <xf numFmtId="44" fontId="23" fillId="0" borderId="0"/>
    <xf numFmtId="17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3" fontId="73" fillId="0" borderId="0"/>
    <xf numFmtId="0" fontId="34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3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3" fontId="4" fillId="0" borderId="0"/>
    <xf numFmtId="0" fontId="73" fillId="0" borderId="0"/>
    <xf numFmtId="173" fontId="73" fillId="0" borderId="0"/>
    <xf numFmtId="173" fontId="73" fillId="0" borderId="0"/>
    <xf numFmtId="201" fontId="33" fillId="31" borderId="0" applyProtection="1">
      <protection locked="0" hidden="0"/>
    </xf>
    <xf numFmtId="201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2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3" fontId="6" fillId="2" borderId="0"/>
    <xf numFmtId="0" fontId="47" fillId="2" borderId="0"/>
    <xf numFmtId="173" fontId="6" fillId="2" borderId="0"/>
    <xf numFmtId="173" fontId="6" fillId="2" borderId="0"/>
    <xf numFmtId="173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6" fillId="3" borderId="0"/>
    <xf numFmtId="173" fontId="6" fillId="3" borderId="0"/>
    <xf numFmtId="0" fontId="47" fillId="3" borderId="0"/>
    <xf numFmtId="173" fontId="6" fillId="3" borderId="0"/>
    <xf numFmtId="173" fontId="6" fillId="3" borderId="0"/>
    <xf numFmtId="173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4" borderId="0"/>
    <xf numFmtId="173" fontId="6" fillId="4" borderId="0"/>
    <xf numFmtId="0" fontId="47" fillId="4" borderId="0"/>
    <xf numFmtId="173" fontId="6" fillId="4" borderId="0"/>
    <xf numFmtId="173" fontId="6" fillId="4" borderId="0"/>
    <xf numFmtId="173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" fillId="6" borderId="0"/>
    <xf numFmtId="173" fontId="6" fillId="6" borderId="0"/>
    <xf numFmtId="0" fontId="47" fillId="6" borderId="0"/>
    <xf numFmtId="173" fontId="6" fillId="6" borderId="0"/>
    <xf numFmtId="173" fontId="6" fillId="6" borderId="0"/>
    <xf numFmtId="173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7" borderId="0"/>
    <xf numFmtId="173" fontId="6" fillId="7" borderId="0"/>
    <xf numFmtId="0" fontId="47" fillId="7" borderId="0"/>
    <xf numFmtId="173" fontId="6" fillId="7" borderId="0"/>
    <xf numFmtId="173" fontId="6" fillId="7" borderId="0"/>
    <xf numFmtId="173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6" fillId="9" borderId="0"/>
    <xf numFmtId="173" fontId="6" fillId="9" borderId="0"/>
    <xf numFmtId="0" fontId="47" fillId="9" borderId="0"/>
    <xf numFmtId="173" fontId="6" fillId="9" borderId="0"/>
    <xf numFmtId="173" fontId="6" fillId="9" borderId="0"/>
    <xf numFmtId="173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" fillId="10" borderId="0"/>
    <xf numFmtId="173" fontId="6" fillId="10" borderId="0"/>
    <xf numFmtId="0" fontId="47" fillId="10" borderId="0"/>
    <xf numFmtId="173" fontId="6" fillId="10" borderId="0"/>
    <xf numFmtId="173" fontId="6" fillId="10" borderId="0"/>
    <xf numFmtId="173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11" borderId="0"/>
    <xf numFmtId="173" fontId="6" fillId="11" borderId="0"/>
    <xf numFmtId="0" fontId="47" fillId="11" borderId="0"/>
    <xf numFmtId="173" fontId="6" fillId="11" borderId="0"/>
    <xf numFmtId="173" fontId="6" fillId="11" borderId="0"/>
    <xf numFmtId="173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7" fillId="12" borderId="0"/>
    <xf numFmtId="173" fontId="7" fillId="12" borderId="0"/>
    <xf numFmtId="0" fontId="24" fillId="12" borderId="0"/>
    <xf numFmtId="173" fontId="7" fillId="12" borderId="0"/>
    <xf numFmtId="173" fontId="7" fillId="12" borderId="0"/>
    <xf numFmtId="173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" fillId="9" borderId="0"/>
    <xf numFmtId="173" fontId="7" fillId="9" borderId="0"/>
    <xf numFmtId="0" fontId="24" fillId="9" borderId="0"/>
    <xf numFmtId="173" fontId="7" fillId="9" borderId="0"/>
    <xf numFmtId="173" fontId="7" fillId="9" borderId="0"/>
    <xf numFmtId="173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" fillId="10" borderId="0"/>
    <xf numFmtId="173" fontId="7" fillId="10" borderId="0"/>
    <xf numFmtId="0" fontId="24" fillId="10" borderId="0"/>
    <xf numFmtId="173" fontId="7" fillId="10" borderId="0"/>
    <xf numFmtId="173" fontId="7" fillId="10" borderId="0"/>
    <xf numFmtId="173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0" fillId="58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0" fillId="6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" fillId="15" borderId="0"/>
    <xf numFmtId="173" fontId="7" fillId="15" borderId="0"/>
    <xf numFmtId="0" fontId="24" fillId="15" borderId="0"/>
    <xf numFmtId="173" fontId="7" fillId="15" borderId="0"/>
    <xf numFmtId="173" fontId="7" fillId="15" borderId="0"/>
    <xf numFmtId="173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3" fontId="7" fillId="16" borderId="0"/>
    <xf numFmtId="0" fontId="24" fillId="16" borderId="0"/>
    <xf numFmtId="173" fontId="7" fillId="16" borderId="0"/>
    <xf numFmtId="173" fontId="7" fillId="16" borderId="0"/>
    <xf numFmtId="173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3" fontId="7" fillId="17" borderId="0"/>
    <xf numFmtId="0" fontId="24" fillId="17" borderId="0"/>
    <xf numFmtId="173" fontId="7" fillId="17" borderId="0"/>
    <xf numFmtId="173" fontId="7" fillId="17" borderId="0"/>
    <xf numFmtId="173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3" fontId="7" fillId="18" borderId="0"/>
    <xf numFmtId="0" fontId="24" fillId="18" borderId="0"/>
    <xf numFmtId="173" fontId="7" fillId="18" borderId="0"/>
    <xf numFmtId="173" fontId="7" fillId="18" borderId="0"/>
    <xf numFmtId="173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3" fontId="7" fillId="19" borderId="0"/>
    <xf numFmtId="0" fontId="24" fillId="19" borderId="0"/>
    <xf numFmtId="173" fontId="7" fillId="19" borderId="0"/>
    <xf numFmtId="173" fontId="7" fillId="19" borderId="0"/>
    <xf numFmtId="173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3" fontId="8" fillId="23" borderId="7"/>
    <xf numFmtId="0" fontId="48" fillId="23" borderId="7"/>
    <xf numFmtId="173" fontId="8" fillId="23" borderId="7"/>
    <xf numFmtId="173" fontId="8" fillId="23" borderId="7"/>
    <xf numFmtId="173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3" fontId="9" fillId="23" borderId="8"/>
    <xf numFmtId="0" fontId="49" fillId="23" borderId="8"/>
    <xf numFmtId="173" fontId="9" fillId="23" borderId="8"/>
    <xf numFmtId="173" fontId="9" fillId="23" borderId="8"/>
    <xf numFmtId="173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3" fontId="10" fillId="7" borderId="8"/>
    <xf numFmtId="0" fontId="50" fillId="7" borderId="8"/>
    <xf numFmtId="173" fontId="10" fillId="7" borderId="8"/>
    <xf numFmtId="173" fontId="10" fillId="7" borderId="8"/>
    <xf numFmtId="173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3" fontId="11" fillId="0" borderId="14"/>
    <xf numFmtId="0" fontId="32" fillId="0" borderId="14"/>
    <xf numFmtId="173" fontId="11" fillId="0" borderId="14"/>
    <xf numFmtId="173" fontId="11" fillId="0" borderId="14"/>
    <xf numFmtId="173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3" fontId="12" fillId="0" borderId="0"/>
    <xf numFmtId="0" fontId="51" fillId="0" borderId="0"/>
    <xf numFmtId="173" fontId="12" fillId="0" borderId="0"/>
    <xf numFmtId="173" fontId="12" fillId="0" borderId="0"/>
    <xf numFmtId="173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197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73" fontId="23" fillId="0" borderId="0"/>
    <xf numFmtId="197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7" fontId="23" fillId="0" borderId="0"/>
    <xf numFmtId="173" fontId="23" fillId="0" borderId="0"/>
    <xf numFmtId="197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7" fontId="23" fillId="0" borderId="0"/>
    <xf numFmtId="19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173" fontId="13" fillId="4" borderId="0"/>
    <xf numFmtId="0" fontId="52" fillId="4" borderId="0"/>
    <xf numFmtId="173" fontId="13" fillId="4" borderId="0"/>
    <xf numFmtId="173" fontId="13" fillId="4" borderId="0"/>
    <xf numFmtId="173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4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" fontId="40" fillId="0" borderId="0"/>
    <xf numFmtId="19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" fontId="40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8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0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0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0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6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3" fontId="14" fillId="26" borderId="0"/>
    <xf numFmtId="0" fontId="53" fillId="26" borderId="0"/>
    <xf numFmtId="173" fontId="14" fillId="26" borderId="0"/>
    <xf numFmtId="173" fontId="14" fillId="26" borderId="0"/>
    <xf numFmtId="173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4" fontId="23" fillId="27" borderId="0"/>
    <xf numFmtId="173" fontId="23" fillId="27" borderId="0"/>
    <xf numFmtId="0" fontId="23" fillId="27" borderId="0"/>
    <xf numFmtId="194" fontId="23" fillId="27" borderId="0"/>
    <xf numFmtId="194" fontId="23" fillId="27" borderId="0"/>
    <xf numFmtId="173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173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0" fontId="8" fillId="23" borderId="7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3" fontId="15" fillId="3" borderId="0"/>
    <xf numFmtId="173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4" fontId="29" fillId="27" borderId="1"/>
    <xf numFmtId="173" fontId="29" fillId="27" borderId="1"/>
    <xf numFmtId="173" fontId="73" fillId="0" borderId="0"/>
    <xf numFmtId="0" fontId="2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125" fillId="0" borderId="0"/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4" fillId="0" borderId="0"/>
    <xf numFmtId="0" fontId="23" fillId="0" borderId="0"/>
    <xf numFmtId="0" fontId="4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3" fontId="4" fillId="0" borderId="0"/>
    <xf numFmtId="173" fontId="4" fillId="0" borderId="0"/>
    <xf numFmtId="0" fontId="4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11" fillId="0" borderId="14"/>
    <xf numFmtId="0" fontId="11" fillId="0" borderId="14"/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3" fontId="17" fillId="0" borderId="15"/>
    <xf numFmtId="173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3" fontId="18" fillId="0" borderId="16"/>
    <xf numFmtId="173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3" fontId="19" fillId="0" borderId="17"/>
    <xf numFmtId="173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3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3" fontId="20" fillId="0" borderId="18"/>
    <xf numFmtId="173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44" fontId="23" fillId="0" borderId="0"/>
    <xf numFmtId="205" fontId="31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3" fontId="21" fillId="0" borderId="0"/>
    <xf numFmtId="173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3" fontId="22" fillId="24" borderId="10"/>
    <xf numFmtId="173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173" fontId="23" fillId="0" borderId="0"/>
    <xf numFmtId="173" fontId="23" fillId="0" borderId="0"/>
    <xf numFmtId="195" fontId="23" fillId="0" borderId="0"/>
    <xf numFmtId="198" fontId="23" fillId="0" borderId="0"/>
    <xf numFmtId="208" fontId="23" fillId="0" borderId="0"/>
    <xf numFmtId="198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54" borderId="0"/>
    <xf numFmtId="0" fontId="73" fillId="55" borderId="0"/>
    <xf numFmtId="0" fontId="73" fillId="56" borderId="0"/>
    <xf numFmtId="0" fontId="73" fillId="59" borderId="0"/>
    <xf numFmtId="0" fontId="73" fillId="57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8" borderId="0"/>
    <xf numFmtId="0" fontId="60" fillId="60" borderId="0"/>
    <xf numFmtId="0" fontId="60" fillId="61" borderId="0"/>
    <xf numFmtId="1" fontId="73" fillId="67" borderId="0"/>
    <xf numFmtId="1" fontId="73" fillId="68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2" fontId="23" fillId="0" borderId="0"/>
    <xf numFmtId="212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56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2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0" fillId="53" borderId="0" pivotButton="0" quotePrefix="0" xfId="0"/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2" borderId="0" pivotButton="0" quotePrefix="0" xfId="0"/>
    <xf numFmtId="0" fontId="90" fillId="51" borderId="0" applyAlignment="1" pivotButton="0" quotePrefix="0" xfId="0">
      <alignment horizontal="left"/>
    </xf>
    <xf numFmtId="0" fontId="5" fillId="53" borderId="21" pivotButton="0" quotePrefix="0" xfId="0"/>
    <xf numFmtId="0" fontId="5" fillId="74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2" fillId="35" borderId="39" applyAlignment="1" pivotButton="0" quotePrefix="0" xfId="484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1" fillId="35" borderId="35" applyAlignment="1" pivotButton="0" quotePrefix="0" xfId="484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0">
    <cellStyle name="Standard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10" defaultColWidth="9.140625" defaultRowHeight="12.75"/>
  <cols>
    <col width="16.85546875" bestFit="1" customWidth="1" style="39" min="2" max="2"/>
    <col width="15.42578125" customWidth="1" style="39" min="3" max="3"/>
    <col width="14.42578125" bestFit="1" customWidth="1" style="39" min="4" max="4"/>
    <col width="15.140625" bestFit="1" customWidth="1" style="39" min="7" max="7"/>
    <col width="11.42578125" customWidth="1" style="39" min="8" max="8"/>
    <col width="14.42578125" customWidth="1" style="39" min="10" max="10"/>
    <col width="12.5703125" bestFit="1" customWidth="1" style="39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2.95" customHeight="1" s="39">
      <c r="B11" s="33" t="inlineStr">
        <is>
          <t>~Milestoneyears</t>
        </is>
      </c>
    </row>
    <row r="12">
      <c r="B12" t="inlineStr">
        <is>
          <t>type</t>
        </is>
      </c>
      <c r="C12" s="32" t="inlineStr">
        <is>
          <t>SEDOS</t>
        </is>
      </c>
      <c r="D12" s="4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30" t="n">
        <v>2021</v>
      </c>
      <c r="D14" s="31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30" t="n">
        <v>2024</v>
      </c>
      <c r="D15" s="31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30" t="n">
        <v>2027</v>
      </c>
      <c r="D16" s="31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30" t="n">
        <v>2030</v>
      </c>
      <c r="D17" s="31" t="n"/>
      <c r="J17" t="n">
        <v>2035</v>
      </c>
      <c r="K17">
        <f>J17-J16</f>
        <v/>
      </c>
    </row>
    <row r="18">
      <c r="B18" t="inlineStr">
        <is>
          <t>milestoneyear</t>
        </is>
      </c>
      <c r="C18" s="30" t="n">
        <v>2035</v>
      </c>
      <c r="D18" s="31" t="n"/>
      <c r="J18" t="n">
        <v>2040</v>
      </c>
      <c r="K18">
        <f>J18-J17</f>
        <v/>
      </c>
    </row>
    <row r="19">
      <c r="B19" t="inlineStr">
        <is>
          <t>milestoneyear</t>
        </is>
      </c>
      <c r="C19" s="30" t="n">
        <v>2040</v>
      </c>
      <c r="D19" s="31" t="n"/>
      <c r="J19" t="n">
        <v>2045</v>
      </c>
      <c r="K19">
        <f>J19-J18</f>
        <v/>
      </c>
    </row>
    <row r="20">
      <c r="B20" t="inlineStr">
        <is>
          <t>milestoneyear</t>
        </is>
      </c>
      <c r="C20" s="30" t="n">
        <v>2045</v>
      </c>
      <c r="D20" s="31" t="n"/>
      <c r="J20" t="n">
        <v>2050</v>
      </c>
      <c r="K20">
        <f>J20-J19</f>
        <v/>
      </c>
    </row>
    <row r="21">
      <c r="B21" t="inlineStr">
        <is>
          <t>milestoneyear</t>
        </is>
      </c>
      <c r="C21" s="30" t="n">
        <v>2050</v>
      </c>
      <c r="D21" s="31" t="n"/>
      <c r="J21" t="n">
        <v>2060</v>
      </c>
      <c r="K21">
        <f>J21-J20</f>
        <v/>
      </c>
    </row>
    <row r="22">
      <c r="B22" t="inlineStr">
        <is>
          <t>milestoneyear</t>
        </is>
      </c>
      <c r="C22" s="30" t="n">
        <v>2060</v>
      </c>
      <c r="D22" s="31" t="n"/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30" t="n">
        <v>2070</v>
      </c>
      <c r="D23" s="31" t="n"/>
    </row>
    <row r="24">
      <c r="B24" t="inlineStr">
        <is>
          <t>milestoneyear</t>
        </is>
      </c>
      <c r="C24" s="30" t="n"/>
      <c r="D24" s="31" t="n"/>
    </row>
    <row r="27" ht="14.45" customHeight="1" s="39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5" customHeight="1" s="39">
      <c r="B28" s="5" t="n">
        <v>2021</v>
      </c>
    </row>
    <row r="35">
      <c r="B35" t="inlineStr">
        <is>
          <t>*~TimePeriods</t>
        </is>
      </c>
    </row>
    <row r="36">
      <c r="B36" s="4" t="inlineStr">
        <is>
          <t>PeriodsDef-SEDOS</t>
        </is>
      </c>
    </row>
    <row r="37">
      <c r="B37" s="31" t="n">
        <v>1</v>
      </c>
    </row>
    <row r="38">
      <c r="B38" s="31" t="n">
        <v>3</v>
      </c>
    </row>
    <row r="39">
      <c r="B39" s="31" t="n">
        <v>3</v>
      </c>
    </row>
    <row r="40">
      <c r="B40" s="31" t="n">
        <v>5</v>
      </c>
    </row>
    <row r="41">
      <c r="B41" s="31" t="n">
        <v>5</v>
      </c>
    </row>
    <row r="42">
      <c r="B42" s="31" t="n">
        <v>5</v>
      </c>
    </row>
    <row r="43">
      <c r="B43" s="31" t="n">
        <v>5</v>
      </c>
    </row>
    <row r="44">
      <c r="B44" s="31" t="n">
        <v>5</v>
      </c>
    </row>
    <row r="45">
      <c r="B45" s="31">
        <f>K21</f>
        <v/>
      </c>
      <c r="C45" t="n">
        <v>12</v>
      </c>
    </row>
    <row r="46">
      <c r="B46" s="31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10" defaultColWidth="8.85546875" defaultRowHeight="12.75"/>
  <cols>
    <col width="15.140625" customWidth="1" style="39" min="3" max="3"/>
  </cols>
  <sheetData>
    <row r="3" ht="17.45" customHeight="1" s="39">
      <c r="B3" s="34" t="inlineStr">
        <is>
          <t>Dummy Imp Prices</t>
        </is>
      </c>
      <c r="C3" s="34" t="n"/>
      <c r="D3" s="34" t="n"/>
    </row>
    <row r="5" ht="12.95" customHeight="1" s="39">
      <c r="B5" s="37" t="inlineStr">
        <is>
          <t>~TFM_UPD</t>
        </is>
      </c>
    </row>
    <row r="6" ht="12.95" customHeight="1" s="39" thickBot="1">
      <c r="B6" s="38" t="inlineStr">
        <is>
          <t>Attribute</t>
        </is>
      </c>
      <c r="C6" s="35" t="inlineStr">
        <is>
          <t>DE</t>
        </is>
      </c>
      <c r="D6" s="36" t="inlineStr">
        <is>
          <t>Pset_Set</t>
        </is>
      </c>
      <c r="E6" s="36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2.95" customHeight="1" s="39">
      <c r="B15" s="37" t="inlineStr">
        <is>
          <t>~TFM_MIG</t>
        </is>
      </c>
    </row>
    <row r="16" ht="12.95" customHeight="1" s="39" thickBot="1">
      <c r="B16" s="38" t="inlineStr">
        <is>
          <t>LimType</t>
        </is>
      </c>
      <c r="C16" s="38" t="inlineStr">
        <is>
          <t>Attribute</t>
        </is>
      </c>
      <c r="D16" s="38" t="inlineStr">
        <is>
          <t>Year2</t>
        </is>
      </c>
      <c r="E16" s="38" t="inlineStr">
        <is>
          <t>AllRegions</t>
        </is>
      </c>
      <c r="F16" s="38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10" defaultColWidth="9.140625" defaultRowHeight="12.75"/>
  <cols>
    <col width="19.140625" bestFit="1" customWidth="1" style="39" min="1" max="1"/>
    <col width="9.140625" customWidth="1" style="39" min="2" max="3"/>
  </cols>
  <sheetData>
    <row r="1" ht="12.95" customHeight="1" s="39">
      <c r="A1" s="37" t="inlineStr">
        <is>
          <t>~BookRegions_Map</t>
        </is>
      </c>
    </row>
    <row r="2" ht="12.95" customHeight="1" s="39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10" defaultColWidth="8.85546875" defaultRowHeight="12.75"/>
  <cols>
    <col width="15" customWidth="1" style="39" min="2" max="2"/>
    <col width="17.85546875" customWidth="1" style="39" min="3" max="3"/>
    <col width="11.85546875" customWidth="1" style="39" min="4" max="4"/>
    <col width="10.140625" customWidth="1" style="39" min="5" max="5"/>
    <col width="11.140625" customWidth="1" style="39" min="9" max="9"/>
  </cols>
  <sheetData>
    <row r="2" ht="12.95" customHeight="1" s="39">
      <c r="B2" s="37" t="inlineStr">
        <is>
          <t>~TimeSlices</t>
        </is>
      </c>
      <c r="C2" s="2" t="n"/>
      <c r="D2" s="2" t="n"/>
    </row>
    <row r="3" ht="12.95" customHeight="1" s="39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inlineStr">
        <is>
          <t>WD</t>
        </is>
      </c>
      <c r="D4" s="3" t="inlineStr">
        <is>
          <t>D1</t>
        </is>
      </c>
    </row>
    <row r="5">
      <c r="B5" s="3" t="inlineStr">
        <is>
          <t>F</t>
        </is>
      </c>
      <c r="C5" s="3" t="inlineStr">
        <is>
          <t>WE</t>
        </is>
      </c>
      <c r="D5" s="3" t="inlineStr">
        <is>
          <t>D2</t>
        </is>
      </c>
    </row>
    <row r="6">
      <c r="B6" s="3" t="inlineStr">
        <is>
          <t>W</t>
        </is>
      </c>
      <c r="C6" s="3" t="n"/>
      <c r="D6" s="3" t="inlineStr">
        <is>
          <t>D3</t>
        </is>
      </c>
    </row>
    <row r="7">
      <c r="B7" s="3" t="n"/>
      <c r="C7" s="3" t="n"/>
      <c r="D7" s="3" t="inlineStr">
        <is>
          <t>D4</t>
        </is>
      </c>
    </row>
    <row r="8">
      <c r="B8" s="3" t="n"/>
      <c r="C8" s="3" t="n"/>
      <c r="D8" s="3" t="inlineStr">
        <is>
          <t>N1</t>
        </is>
      </c>
    </row>
    <row r="11" ht="12.95" customHeight="1" s="39">
      <c r="B11" s="7" t="inlineStr">
        <is>
          <t>~TFM_INS</t>
        </is>
      </c>
    </row>
    <row r="12" ht="12.95" customHeight="1" s="39" thickBot="1">
      <c r="B12" s="38" t="inlineStr">
        <is>
          <t>TimeSlice</t>
        </is>
      </c>
      <c r="C12" s="38" t="inlineStr">
        <is>
          <t>LimType</t>
        </is>
      </c>
      <c r="D12" s="38" t="inlineStr">
        <is>
          <t>Attribute</t>
        </is>
      </c>
      <c r="E12" s="38" t="inlineStr">
        <is>
          <t>AllRegions</t>
        </is>
      </c>
      <c r="F12" s="38" t="inlineStr">
        <is>
          <t>DE</t>
        </is>
      </c>
      <c r="G12" s="38" t="inlineStr">
        <is>
          <t>IMPEXP</t>
        </is>
      </c>
      <c r="H12" s="38" t="inlineStr">
        <is>
          <t>Cset_CN</t>
        </is>
      </c>
    </row>
    <row r="13">
      <c r="B13" s="21">
        <f>B73</f>
        <v/>
      </c>
      <c r="C13" s="21" t="n"/>
      <c r="D13" s="21" t="inlineStr">
        <is>
          <t>YRFR</t>
        </is>
      </c>
      <c r="E13" s="52">
        <f>C73</f>
        <v/>
      </c>
    </row>
    <row r="14">
      <c r="B14" s="21">
        <f>B74</f>
        <v/>
      </c>
      <c r="C14" s="21" t="n"/>
      <c r="D14" s="21" t="inlineStr">
        <is>
          <t>YRFR</t>
        </is>
      </c>
      <c r="E14" s="52">
        <f>C74</f>
        <v/>
      </c>
    </row>
    <row r="15">
      <c r="B15" s="21">
        <f>B75</f>
        <v/>
      </c>
      <c r="C15" s="21" t="n"/>
      <c r="D15" s="21" t="inlineStr">
        <is>
          <t>YRFR</t>
        </is>
      </c>
      <c r="E15" s="52">
        <f>C75</f>
        <v/>
      </c>
    </row>
    <row r="16">
      <c r="B16" s="21">
        <f>B76</f>
        <v/>
      </c>
      <c r="C16" s="21" t="n"/>
      <c r="D16" s="21" t="inlineStr">
        <is>
          <t>YRFR</t>
        </is>
      </c>
      <c r="E16" s="52">
        <f>C76</f>
        <v/>
      </c>
    </row>
    <row r="17">
      <c r="B17" s="21">
        <f>B77</f>
        <v/>
      </c>
      <c r="C17" s="21" t="n"/>
      <c r="D17" s="21" t="inlineStr">
        <is>
          <t>YRFR</t>
        </is>
      </c>
      <c r="E17" s="52">
        <f>C77</f>
        <v/>
      </c>
    </row>
    <row r="18">
      <c r="B18" s="21">
        <f>B78</f>
        <v/>
      </c>
      <c r="C18" s="21" t="n"/>
      <c r="D18" s="21" t="inlineStr">
        <is>
          <t>YRFR</t>
        </is>
      </c>
      <c r="E18" s="52">
        <f>C78</f>
        <v/>
      </c>
    </row>
    <row r="19">
      <c r="B19" s="21">
        <f>B79</f>
        <v/>
      </c>
      <c r="C19" s="21" t="n"/>
      <c r="D19" s="21" t="inlineStr">
        <is>
          <t>YRFR</t>
        </is>
      </c>
      <c r="E19" s="52">
        <f>C79</f>
        <v/>
      </c>
    </row>
    <row r="20">
      <c r="B20" s="21">
        <f>B80</f>
        <v/>
      </c>
      <c r="C20" s="21" t="n"/>
      <c r="D20" s="21" t="inlineStr">
        <is>
          <t>YRFR</t>
        </is>
      </c>
      <c r="E20" s="52">
        <f>C80</f>
        <v/>
      </c>
    </row>
    <row r="21">
      <c r="B21" s="21">
        <f>B81</f>
        <v/>
      </c>
      <c r="C21" s="21" t="n"/>
      <c r="D21" s="21" t="inlineStr">
        <is>
          <t>YRFR</t>
        </is>
      </c>
      <c r="E21" s="52">
        <f>C81</f>
        <v/>
      </c>
    </row>
    <row r="22">
      <c r="B22" s="21">
        <f>B82</f>
        <v/>
      </c>
      <c r="C22" s="21" t="n"/>
      <c r="D22" s="21" t="inlineStr">
        <is>
          <t>YRFR</t>
        </is>
      </c>
      <c r="E22" s="52">
        <f>C82</f>
        <v/>
      </c>
    </row>
    <row r="23">
      <c r="B23" s="21">
        <f>B83</f>
        <v/>
      </c>
      <c r="C23" s="21" t="n"/>
      <c r="D23" s="21" t="inlineStr">
        <is>
          <t>YRFR</t>
        </is>
      </c>
      <c r="E23" s="52">
        <f>C83</f>
        <v/>
      </c>
    </row>
    <row r="24">
      <c r="B24" s="21">
        <f>B84</f>
        <v/>
      </c>
      <c r="C24" s="21" t="n"/>
      <c r="D24" s="21" t="inlineStr">
        <is>
          <t>YRFR</t>
        </is>
      </c>
      <c r="E24" s="52">
        <f>C84</f>
        <v/>
      </c>
    </row>
    <row r="25">
      <c r="B25" s="21">
        <f>B85</f>
        <v/>
      </c>
      <c r="C25" s="21" t="n"/>
      <c r="D25" s="21" t="inlineStr">
        <is>
          <t>YRFR</t>
        </is>
      </c>
      <c r="E25" s="52">
        <f>C85</f>
        <v/>
      </c>
    </row>
    <row r="26">
      <c r="B26" s="21">
        <f>B86</f>
        <v/>
      </c>
      <c r="C26" s="21" t="n"/>
      <c r="D26" s="21" t="inlineStr">
        <is>
          <t>YRFR</t>
        </is>
      </c>
      <c r="E26" s="52">
        <f>C86</f>
        <v/>
      </c>
    </row>
    <row r="27">
      <c r="B27" s="21">
        <f>B87</f>
        <v/>
      </c>
      <c r="C27" s="21" t="n"/>
      <c r="D27" s="21" t="inlineStr">
        <is>
          <t>YRFR</t>
        </is>
      </c>
      <c r="E27" s="52">
        <f>C87</f>
        <v/>
      </c>
    </row>
    <row r="28">
      <c r="B28" s="21">
        <f>B88</f>
        <v/>
      </c>
      <c r="C28" s="21" t="n"/>
      <c r="D28" s="21" t="inlineStr">
        <is>
          <t>YRFR</t>
        </is>
      </c>
      <c r="E28" s="52">
        <f>C88</f>
        <v/>
      </c>
    </row>
    <row r="29">
      <c r="B29" s="21">
        <f>B89</f>
        <v/>
      </c>
      <c r="C29" s="21" t="n"/>
      <c r="D29" s="21" t="inlineStr">
        <is>
          <t>YRFR</t>
        </is>
      </c>
      <c r="E29" s="52">
        <f>C89</f>
        <v/>
      </c>
    </row>
    <row r="30">
      <c r="B30" s="21">
        <f>B90</f>
        <v/>
      </c>
      <c r="C30" s="21" t="n"/>
      <c r="D30" s="21" t="inlineStr">
        <is>
          <t>YRFR</t>
        </is>
      </c>
      <c r="E30" s="52">
        <f>C90</f>
        <v/>
      </c>
    </row>
    <row r="31">
      <c r="B31" s="21">
        <f>B91</f>
        <v/>
      </c>
      <c r="C31" s="21" t="n"/>
      <c r="D31" s="21" t="inlineStr">
        <is>
          <t>YRFR</t>
        </is>
      </c>
      <c r="E31" s="52">
        <f>C91</f>
        <v/>
      </c>
    </row>
    <row r="32">
      <c r="B32" s="21">
        <f>B92</f>
        <v/>
      </c>
      <c r="C32" s="21" t="n"/>
      <c r="D32" s="21" t="inlineStr">
        <is>
          <t>YRFR</t>
        </is>
      </c>
      <c r="E32" s="52">
        <f>C92</f>
        <v/>
      </c>
    </row>
    <row r="33">
      <c r="B33" s="21">
        <f>B93</f>
        <v/>
      </c>
      <c r="C33" s="21" t="n"/>
      <c r="D33" s="21" t="inlineStr">
        <is>
          <t>YRFR</t>
        </is>
      </c>
      <c r="E33" s="52">
        <f>C93</f>
        <v/>
      </c>
    </row>
    <row r="34">
      <c r="B34" s="21">
        <f>B94</f>
        <v/>
      </c>
      <c r="C34" s="21" t="n"/>
      <c r="D34" s="21" t="inlineStr">
        <is>
          <t>YRFR</t>
        </is>
      </c>
      <c r="E34" s="52">
        <f>C94</f>
        <v/>
      </c>
    </row>
    <row r="35">
      <c r="B35" s="21">
        <f>B95</f>
        <v/>
      </c>
      <c r="C35" s="21" t="n"/>
      <c r="D35" s="21" t="inlineStr">
        <is>
          <t>YRFR</t>
        </is>
      </c>
      <c r="E35" s="52">
        <f>C95</f>
        <v/>
      </c>
    </row>
    <row r="36">
      <c r="B36" s="21">
        <f>B96</f>
        <v/>
      </c>
      <c r="C36" s="21" t="n"/>
      <c r="D36" s="21" t="inlineStr">
        <is>
          <t>YRFR</t>
        </is>
      </c>
      <c r="E36" s="52">
        <f>C96</f>
        <v/>
      </c>
    </row>
    <row r="37">
      <c r="B37" s="21">
        <f>B97</f>
        <v/>
      </c>
      <c r="C37" s="21" t="n"/>
      <c r="D37" s="21" t="inlineStr">
        <is>
          <t>YRFR</t>
        </is>
      </c>
      <c r="E37" s="52">
        <f>C97</f>
        <v/>
      </c>
    </row>
    <row r="38">
      <c r="B38" s="21">
        <f>B98</f>
        <v/>
      </c>
      <c r="C38" s="21" t="n"/>
      <c r="D38" s="21" t="inlineStr">
        <is>
          <t>YRFR</t>
        </is>
      </c>
      <c r="E38" s="52">
        <f>C98</f>
        <v/>
      </c>
    </row>
    <row r="39">
      <c r="B39" s="21">
        <f>B99</f>
        <v/>
      </c>
      <c r="C39" s="21" t="n"/>
      <c r="D39" s="21" t="inlineStr">
        <is>
          <t>YRFR</t>
        </is>
      </c>
      <c r="E39" s="52">
        <f>C99</f>
        <v/>
      </c>
    </row>
    <row r="40">
      <c r="B40" s="21">
        <f>B100</f>
        <v/>
      </c>
      <c r="C40" s="21" t="n"/>
      <c r="D40" s="21" t="inlineStr">
        <is>
          <t>YRFR</t>
        </is>
      </c>
      <c r="E40" s="52">
        <f>C100</f>
        <v/>
      </c>
    </row>
    <row r="41">
      <c r="B41" s="21">
        <f>B101</f>
        <v/>
      </c>
      <c r="C41" s="21" t="n"/>
      <c r="D41" s="21" t="inlineStr">
        <is>
          <t>YRFR</t>
        </is>
      </c>
      <c r="E41" s="52">
        <f>C101</f>
        <v/>
      </c>
    </row>
    <row r="42">
      <c r="B42" s="21">
        <f>B102</f>
        <v/>
      </c>
      <c r="C42" s="21" t="n"/>
      <c r="D42" s="21" t="inlineStr">
        <is>
          <t>YRFR</t>
        </is>
      </c>
      <c r="E42" s="52">
        <f>C102</f>
        <v/>
      </c>
    </row>
    <row r="48" ht="17.45" customHeight="1" s="39">
      <c r="B48" s="10" t="inlineStr">
        <is>
          <t>Time slices</t>
        </is>
      </c>
      <c r="C48" s="11" t="n"/>
      <c r="D48" s="12" t="n"/>
      <c r="E48" s="12" t="n"/>
      <c r="F48" s="12" t="n"/>
    </row>
    <row r="49">
      <c r="B49" s="14" t="n"/>
      <c r="C49" s="13" t="n"/>
      <c r="D49" s="13" t="n"/>
      <c r="E49" s="14" t="n"/>
      <c r="F49" s="14" t="n"/>
    </row>
    <row r="50">
      <c r="B50" s="15" t="n"/>
      <c r="C50" s="16" t="inlineStr">
        <is>
          <t>Seasons</t>
        </is>
      </c>
      <c r="D50" s="17" t="inlineStr">
        <is>
          <t>N. of Days</t>
        </is>
      </c>
      <c r="E50" s="18" t="inlineStr">
        <is>
          <t>Fraction</t>
        </is>
      </c>
    </row>
    <row r="51">
      <c r="B51" s="19" t="inlineStr">
        <is>
          <t>Summer</t>
        </is>
      </c>
      <c r="C51" s="9" t="inlineStr">
        <is>
          <t>S</t>
        </is>
      </c>
      <c r="D51" s="28" t="n">
        <v>91</v>
      </c>
      <c r="E51" s="24">
        <f>D51/$D$54</f>
        <v/>
      </c>
    </row>
    <row r="52">
      <c r="B52" s="9" t="inlineStr">
        <is>
          <t>Winter</t>
        </is>
      </c>
      <c r="C52" s="9" t="inlineStr">
        <is>
          <t xml:space="preserve">W </t>
        </is>
      </c>
      <c r="D52" s="28" t="n">
        <v>120</v>
      </c>
      <c r="E52" s="24">
        <f>D52/$D$54</f>
        <v/>
      </c>
    </row>
    <row r="53">
      <c r="B53" s="20" t="inlineStr">
        <is>
          <t>Fall</t>
        </is>
      </c>
      <c r="C53" s="20" t="inlineStr">
        <is>
          <t>F</t>
        </is>
      </c>
      <c r="D53" s="29" t="n">
        <v>154</v>
      </c>
      <c r="E53" s="23">
        <f>D53/$D$54</f>
        <v/>
      </c>
    </row>
    <row r="54">
      <c r="D54">
        <f>SUM(D51:D53)</f>
        <v/>
      </c>
      <c r="E54">
        <f>SUM(E51:E53)</f>
        <v/>
      </c>
    </row>
    <row r="56">
      <c r="C56" s="16" t="inlineStr">
        <is>
          <t>Week</t>
        </is>
      </c>
      <c r="D56" s="17" t="inlineStr">
        <is>
          <t>N. of Days</t>
        </is>
      </c>
      <c r="E56" s="46" t="inlineStr">
        <is>
          <t>Fraction</t>
        </is>
      </c>
    </row>
    <row r="57">
      <c r="B57" s="41" t="inlineStr">
        <is>
          <t>Weekdays</t>
        </is>
      </c>
      <c r="C57" s="19" t="inlineStr">
        <is>
          <t>WD</t>
        </is>
      </c>
      <c r="D57" s="44" t="n">
        <v>5</v>
      </c>
      <c r="E57" s="42">
        <f>D57/$D$59</f>
        <v/>
      </c>
    </row>
    <row r="58">
      <c r="B58" s="29" t="inlineStr">
        <is>
          <t>Weekend</t>
        </is>
      </c>
      <c r="C58" s="20" t="inlineStr">
        <is>
          <t>WE</t>
        </is>
      </c>
      <c r="D58" s="45" t="n">
        <v>2</v>
      </c>
      <c r="E58" s="23">
        <f>D58/$D$59</f>
        <v/>
      </c>
    </row>
    <row r="59">
      <c r="D59">
        <f>SUM(D57:D58)</f>
        <v/>
      </c>
      <c r="E59" s="43">
        <f>SUM(E57:E58)</f>
        <v/>
      </c>
    </row>
    <row r="62">
      <c r="B62" t="inlineStr">
        <is>
          <t>Winter &amp; Fall</t>
        </is>
      </c>
      <c r="C62" s="47" t="inlineStr">
        <is>
          <t>Day Segments</t>
        </is>
      </c>
      <c r="D62" s="47" t="inlineStr">
        <is>
          <t>Day</t>
        </is>
      </c>
      <c r="E62" s="47" t="inlineStr">
        <is>
          <t>N. of Hours</t>
        </is>
      </c>
      <c r="F62" s="48" t="inlineStr">
        <is>
          <t>Fraction</t>
        </is>
      </c>
      <c r="H62" t="inlineStr">
        <is>
          <t>Summer</t>
        </is>
      </c>
      <c r="I62" s="47" t="inlineStr">
        <is>
          <t>Day Segments</t>
        </is>
      </c>
      <c r="J62" s="47" t="inlineStr">
        <is>
          <t>Day</t>
        </is>
      </c>
      <c r="K62" s="47" t="inlineStr">
        <is>
          <t>N. of Hours</t>
        </is>
      </c>
      <c r="L62" s="48" t="inlineStr">
        <is>
          <t>Fraction</t>
        </is>
      </c>
    </row>
    <row r="63">
      <c r="C63" s="25" t="inlineStr">
        <is>
          <t>08-10</t>
        </is>
      </c>
      <c r="D63" s="25" t="inlineStr">
        <is>
          <t>D1</t>
        </is>
      </c>
      <c r="E63" s="25" t="n">
        <v>3</v>
      </c>
      <c r="F63" s="22">
        <f>E63/$E$68</f>
        <v/>
      </c>
      <c r="I63" s="25" t="inlineStr">
        <is>
          <t>07-10</t>
        </is>
      </c>
      <c r="J63" s="25" t="inlineStr">
        <is>
          <t>D1</t>
        </is>
      </c>
      <c r="K63" s="25" t="n">
        <v>4</v>
      </c>
      <c r="L63" s="22">
        <f>K63/$K$68</f>
        <v/>
      </c>
    </row>
    <row r="64">
      <c r="C64" s="26" t="inlineStr">
        <is>
          <t>11-13</t>
        </is>
      </c>
      <c r="D64" s="26" t="inlineStr">
        <is>
          <t>D2</t>
        </is>
      </c>
      <c r="E64" s="26" t="n">
        <v>3</v>
      </c>
      <c r="F64" s="49">
        <f>E64/$E$68</f>
        <v/>
      </c>
      <c r="I64" s="26" t="inlineStr">
        <is>
          <t>11-13</t>
        </is>
      </c>
      <c r="J64" s="26" t="inlineStr">
        <is>
          <t>D2</t>
        </is>
      </c>
      <c r="K64" s="26" t="n">
        <v>3</v>
      </c>
      <c r="L64" s="49">
        <f>K64/$K$68</f>
        <v/>
      </c>
    </row>
    <row r="65">
      <c r="C65" s="26" t="inlineStr">
        <is>
          <t>14-17</t>
        </is>
      </c>
      <c r="D65" s="26" t="inlineStr">
        <is>
          <t>D3</t>
        </is>
      </c>
      <c r="E65" s="26" t="n">
        <v>4</v>
      </c>
      <c r="F65" s="49">
        <f>E65/$E$68</f>
        <v/>
      </c>
      <c r="I65" s="26" t="inlineStr">
        <is>
          <t>14-17</t>
        </is>
      </c>
      <c r="J65" s="26" t="inlineStr">
        <is>
          <t>D3</t>
        </is>
      </c>
      <c r="K65" s="26" t="n">
        <v>4</v>
      </c>
      <c r="L65" s="49">
        <f>K65/$K$68</f>
        <v/>
      </c>
    </row>
    <row r="66">
      <c r="C66" s="26" t="inlineStr">
        <is>
          <t>18-21</t>
        </is>
      </c>
      <c r="D66" s="26" t="inlineStr">
        <is>
          <t>D4</t>
        </is>
      </c>
      <c r="E66" s="26" t="n">
        <v>4</v>
      </c>
      <c r="F66" s="49">
        <f>E66/$E$68</f>
        <v/>
      </c>
      <c r="I66" s="26" t="inlineStr">
        <is>
          <t>18-21</t>
        </is>
      </c>
      <c r="J66" s="26" t="inlineStr">
        <is>
          <t>D4</t>
        </is>
      </c>
      <c r="K66" s="26" t="n">
        <v>4</v>
      </c>
      <c r="L66" s="49">
        <f>K66/$K$68</f>
        <v/>
      </c>
    </row>
    <row r="67">
      <c r="C67" s="27" t="inlineStr">
        <is>
          <t>22-07</t>
        </is>
      </c>
      <c r="D67" s="27" t="inlineStr">
        <is>
          <t>N1</t>
        </is>
      </c>
      <c r="E67" s="27" t="n">
        <v>10</v>
      </c>
      <c r="F67" s="50">
        <f>E67/$E$68</f>
        <v/>
      </c>
      <c r="I67" s="27" t="inlineStr">
        <is>
          <t>22-06</t>
        </is>
      </c>
      <c r="J67" s="27" t="inlineStr">
        <is>
          <t>N1</t>
        </is>
      </c>
      <c r="K67" s="27" t="n">
        <v>9</v>
      </c>
      <c r="L67" s="50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25" t="inlineStr">
        <is>
          <t>Attribute</t>
        </is>
      </c>
      <c r="C71" s="22" t="inlineStr">
        <is>
          <t>YRFR</t>
        </is>
      </c>
    </row>
    <row r="72">
      <c r="B72" s="27" t="inlineStr">
        <is>
          <t>*Time Slice Name</t>
        </is>
      </c>
      <c r="C72" s="50" t="inlineStr">
        <is>
          <t>*Year Fraction</t>
        </is>
      </c>
    </row>
    <row r="73">
      <c r="B73" s="25">
        <f>_xlfn.CONCAT($B$4,$C$4,D4)</f>
        <v/>
      </c>
      <c r="C73" s="53">
        <f>$E$51*$E$57*L63</f>
        <v/>
      </c>
    </row>
    <row r="74">
      <c r="B74" s="26">
        <f>_xlfn.CONCAT($B$4,$C$4,D5)</f>
        <v/>
      </c>
      <c r="C74" s="54">
        <f>$E$51*$E$57*L64</f>
        <v/>
      </c>
    </row>
    <row r="75">
      <c r="B75" s="26">
        <f>_xlfn.CONCAT($B$4,$C$4,D6)</f>
        <v/>
      </c>
      <c r="C75" s="54">
        <f>$E$51*$E$57*L65</f>
        <v/>
      </c>
    </row>
    <row r="76">
      <c r="B76" s="26">
        <f>_xlfn.CONCAT($B$4,$C$4,D7)</f>
        <v/>
      </c>
      <c r="C76" s="54">
        <f>$E$51*$E$57*L66</f>
        <v/>
      </c>
    </row>
    <row r="77">
      <c r="B77" s="26">
        <f>_xlfn.CONCAT($B$4,$C$4,D8)</f>
        <v/>
      </c>
      <c r="C77" s="54">
        <f>$E$51*$E$57*L67</f>
        <v/>
      </c>
    </row>
    <row r="78">
      <c r="B78" s="26">
        <f>_xlfn.CONCAT($B$4,$C$5,D4)</f>
        <v/>
      </c>
      <c r="C78" s="54">
        <f>$E$51*$E$58*L63</f>
        <v/>
      </c>
    </row>
    <row r="79">
      <c r="B79" s="26">
        <f>_xlfn.CONCAT($B$4,$C$5,D5)</f>
        <v/>
      </c>
      <c r="C79" s="54">
        <f>$E$51*$E$58*L64</f>
        <v/>
      </c>
    </row>
    <row r="80">
      <c r="B80" s="26">
        <f>_xlfn.CONCAT($B$4,$C$5,D6)</f>
        <v/>
      </c>
      <c r="C80" s="54">
        <f>$E$51*$E$58*L65</f>
        <v/>
      </c>
    </row>
    <row r="81">
      <c r="B81" s="26">
        <f>_xlfn.CONCAT($B$4,$C$5,D7)</f>
        <v/>
      </c>
      <c r="C81" s="54">
        <f>$E$51*$E$58*L66</f>
        <v/>
      </c>
    </row>
    <row r="82">
      <c r="B82" s="26">
        <f>_xlfn.CONCAT($B$4,$C$5,D8)</f>
        <v/>
      </c>
      <c r="C82" s="54">
        <f>$E$51*$E$58*L67</f>
        <v/>
      </c>
    </row>
    <row r="83">
      <c r="B83" s="26">
        <f>_xlfn.CONCAT($B$5,$C$4,D4)</f>
        <v/>
      </c>
      <c r="C83" s="54">
        <f>$E$52*$E$57*F63</f>
        <v/>
      </c>
    </row>
    <row r="84">
      <c r="B84" s="26">
        <f>_xlfn.CONCAT($B$5,$C$4,D5)</f>
        <v/>
      </c>
      <c r="C84" s="54">
        <f>$E$52*$E$57*F64</f>
        <v/>
      </c>
    </row>
    <row r="85">
      <c r="B85" s="26">
        <f>_xlfn.CONCAT($B$5,$C$4,D6)</f>
        <v/>
      </c>
      <c r="C85" s="54">
        <f>$E$52*$E$57*F65</f>
        <v/>
      </c>
    </row>
    <row r="86">
      <c r="B86" s="26">
        <f>_xlfn.CONCAT($B$5,$C$4,D7)</f>
        <v/>
      </c>
      <c r="C86" s="54">
        <f>$E$52*$E$57*F66</f>
        <v/>
      </c>
    </row>
    <row r="87">
      <c r="B87" s="26">
        <f>_xlfn.CONCAT($B$5,$C$4,D8)</f>
        <v/>
      </c>
      <c r="C87" s="54">
        <f>$E$52*$E$57*F67</f>
        <v/>
      </c>
    </row>
    <row r="88">
      <c r="B88" s="26">
        <f>_xlfn.CONCAT($B$5,$C$5,D4)</f>
        <v/>
      </c>
      <c r="C88" s="54">
        <f>$E$52*$E$58*F63</f>
        <v/>
      </c>
    </row>
    <row r="89">
      <c r="B89" s="26">
        <f>_xlfn.CONCAT($B$5,$C$5,D5)</f>
        <v/>
      </c>
      <c r="C89" s="54">
        <f>$E$52*$E$58*F64</f>
        <v/>
      </c>
    </row>
    <row r="90">
      <c r="B90" s="26">
        <f>_xlfn.CONCAT($B$5,$C$5,D6)</f>
        <v/>
      </c>
      <c r="C90" s="54">
        <f>$E$52*$E$58*F65</f>
        <v/>
      </c>
    </row>
    <row r="91">
      <c r="B91" s="26">
        <f>_xlfn.CONCAT($B$5,$C$5,D7)</f>
        <v/>
      </c>
      <c r="C91" s="54">
        <f>$E$52*$E$58*F66</f>
        <v/>
      </c>
    </row>
    <row r="92">
      <c r="B92" s="26">
        <f>_xlfn.CONCAT($B$5,$C$5,D8)</f>
        <v/>
      </c>
      <c r="C92" s="54">
        <f>$E$52*$E$58*F67</f>
        <v/>
      </c>
    </row>
    <row r="93">
      <c r="B93" s="26">
        <f>_xlfn.CONCAT($B$6,$C$4,D4)</f>
        <v/>
      </c>
      <c r="C93" s="54">
        <f>$E$53*$E$57*F63</f>
        <v/>
      </c>
    </row>
    <row r="94">
      <c r="B94" s="26">
        <f>_xlfn.CONCAT($B$6,$C$4,D5)</f>
        <v/>
      </c>
      <c r="C94" s="54">
        <f>$E$53*$E$57*F64</f>
        <v/>
      </c>
    </row>
    <row r="95">
      <c r="B95" s="26">
        <f>_xlfn.CONCAT($B$6,$C$4,D6)</f>
        <v/>
      </c>
      <c r="C95" s="54">
        <f>$E$53*$E$57*F65</f>
        <v/>
      </c>
    </row>
    <row r="96">
      <c r="B96" s="26">
        <f>_xlfn.CONCAT($B$6,$C$4,D7)</f>
        <v/>
      </c>
      <c r="C96" s="54">
        <f>$E$53*$E$57*F66</f>
        <v/>
      </c>
    </row>
    <row r="97">
      <c r="B97" s="26">
        <f>_xlfn.CONCAT($B$6,$C$4,D8)</f>
        <v/>
      </c>
      <c r="C97" s="54">
        <f>$E$53*$E$57*F67</f>
        <v/>
      </c>
    </row>
    <row r="98">
      <c r="B98" s="26">
        <f>_xlfn.CONCAT($B$6,$C$5,D4)</f>
        <v/>
      </c>
      <c r="C98" s="54">
        <f>$E$53*$E$58*F63</f>
        <v/>
      </c>
    </row>
    <row r="99">
      <c r="B99" s="26">
        <f>_xlfn.CONCAT($B$6,$C$5,D5)</f>
        <v/>
      </c>
      <c r="C99" s="54">
        <f>$E$53*$E$58*F64</f>
        <v/>
      </c>
    </row>
    <row r="100">
      <c r="B100" s="26">
        <f>_xlfn.CONCAT($B$6,$C$5,D6)</f>
        <v/>
      </c>
      <c r="C100" s="54">
        <f>$E$53*$E$58*F65</f>
        <v/>
      </c>
    </row>
    <row r="101">
      <c r="B101" s="26">
        <f>_xlfn.CONCAT($B$6,$C$5,D7)</f>
        <v/>
      </c>
      <c r="C101" s="54">
        <f>$E$53*$E$58*F66</f>
        <v/>
      </c>
    </row>
    <row r="102">
      <c r="B102" s="27">
        <f>_xlfn.CONCAT($B$6,$C$5,D8)</f>
        <v/>
      </c>
      <c r="C102" s="5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10" defaultColWidth="8.85546875" defaultRowHeight="12.75"/>
  <cols>
    <col width="9.42578125" bestFit="1" customWidth="1" style="39" min="4" max="4"/>
  </cols>
  <sheetData>
    <row r="3" ht="12.95" customHeight="1" s="39">
      <c r="B3" s="7" t="inlineStr">
        <is>
          <t>~TFM_INS</t>
        </is>
      </c>
    </row>
    <row r="4" ht="12.95" customHeight="1" s="39" thickBot="1">
      <c r="B4" s="38" t="inlineStr">
        <is>
          <t>TimeSlice</t>
        </is>
      </c>
      <c r="C4" s="38" t="inlineStr">
        <is>
          <t>LimType</t>
        </is>
      </c>
      <c r="D4" s="38" t="inlineStr">
        <is>
          <t>Attribute</t>
        </is>
      </c>
      <c r="E4" s="38" t="inlineStr">
        <is>
          <t>AllRegions</t>
        </is>
      </c>
      <c r="F4" s="38" t="inlineStr">
        <is>
          <t>DE</t>
        </is>
      </c>
      <c r="G4" s="38" t="inlineStr">
        <is>
          <t>IMPEXP</t>
        </is>
      </c>
      <c r="H4" s="38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tabSelected="1" workbookViewId="0">
      <selection activeCell="B5" sqref="B5:F11"/>
    </sheetView>
  </sheetViews>
  <sheetFormatPr baseColWidth="10" defaultColWidth="8.85546875" defaultRowHeight="12.75"/>
  <cols>
    <col width="31.140625" bestFit="1" customWidth="1" style="39" min="2" max="2"/>
    <col width="16.42578125" customWidth="1" style="39" min="3" max="3"/>
    <col width="9.42578125" bestFit="1" customWidth="1" style="39" min="4" max="4"/>
    <col width="8.140625" bestFit="1" customWidth="1" style="39" min="5" max="5"/>
    <col width="126.42578125" bestFit="1" customWidth="1" style="39" min="6" max="6"/>
    <col width="8.140625" bestFit="1" customWidth="1" style="39" min="7" max="7"/>
  </cols>
  <sheetData>
    <row r="1"/>
    <row r="2"/>
    <row r="3">
      <c r="B3" s="40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cg_g_d_k_l_n_h_r</t>
        </is>
      </c>
      <c r="D5" s="51" t="inlineStr">
        <is>
          <t>y</t>
        </is>
      </c>
      <c r="F5" t="inlineStr">
        <is>
          <t>sec_heavy_fuel_oil_orig, sec_kerosene_fos_orig, sec_refinery_gas, sec_diesel_fos_orig, sec_naphtha_fos_orig, sec_gasoline_fos_orig, sec_lpg_orig</t>
        </is>
      </c>
    </row>
    <row r="6">
      <c r="B6" t="inlineStr">
        <is>
          <t>cg_d_g_k_n</t>
        </is>
      </c>
      <c r="D6" t="inlineStr">
        <is>
          <t>y</t>
        </is>
      </c>
      <c r="F6" t="inlineStr">
        <is>
          <t>sec_kerosene_syn_orig, sec_gasoline_syn_orig, sec_naphtha_syn_orig, sec_diesel_syn_orig</t>
        </is>
      </c>
    </row>
    <row r="7">
      <c r="B7" t="inlineStr">
        <is>
          <t>cg_b_b_w_w</t>
        </is>
      </c>
      <c r="D7" t="inlineStr">
        <is>
          <t>y</t>
        </is>
      </c>
      <c r="F7" t="inlineStr">
        <is>
          <t>pri_waste_animal, pri_biomass_pellets_pp, pri_biomass_straw_bales_pr, pri_waste_municipal_bio</t>
        </is>
      </c>
    </row>
    <row r="8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10" defaultColWidth="9.140625" defaultRowHeight="12.75"/>
  <cols>
    <col width="20.5703125" customWidth="1" style="39" min="2" max="2"/>
    <col width="15.7109375" customWidth="1" style="39" min="4" max="4"/>
  </cols>
  <sheetData>
    <row r="4" ht="12.95" customHeight="1" s="39">
      <c r="B4" s="2" t="inlineStr">
        <is>
          <t>~Currencies</t>
        </is>
      </c>
      <c r="D4" s="2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2.95" customHeight="1" s="39">
      <c r="B15" s="2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2.95" customHeight="1" s="39">
      <c r="B39" s="2" t="inlineStr">
        <is>
          <t>*Transport</t>
        </is>
      </c>
      <c r="C39" s="2" t="n"/>
      <c r="D39" s="2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2.95" customHeight="1" s="39">
      <c r="B57" s="2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2025-02-21T11:04:10Z</dcterms:modified>
  <cp:lastModifiedBy>Pathak, Akshay Sanjay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